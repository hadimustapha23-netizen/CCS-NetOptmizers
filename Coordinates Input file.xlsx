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na\OneDrive\Рабочий стол\"/>
    </mc:Choice>
  </mc:AlternateContent>
  <xr:revisionPtr revIDLastSave="0" documentId="8_{359BF356-7550-417A-B1A0-FCC1967DE466}" xr6:coauthVersionLast="47" xr6:coauthVersionMax="47" xr10:uidLastSave="{00000000-0000-0000-0000-000000000000}"/>
  <bookViews>
    <workbookView xWindow="-108" yWindow="-108" windowWidth="23256" windowHeight="12456" xr2:uid="{0670AA75-7B36-44F3-8CA1-221C414C7E72}"/>
  </bookViews>
  <sheets>
    <sheet name="CO2 sources" sheetId="1" r:id="rId1"/>
    <sheet name="CO2 sinks" sheetId="2" r:id="rId2"/>
    <sheet name="pipeline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7" i="2"/>
  <c r="D8" i="2"/>
  <c r="D9" i="2"/>
  <c r="D10" i="2"/>
  <c r="D11" i="2"/>
  <c r="D12" i="2"/>
  <c r="D13" i="2"/>
  <c r="D5" i="2"/>
  <c r="D6" i="2"/>
  <c r="D4" i="2"/>
  <c r="D3" i="2"/>
  <c r="D16" i="2"/>
  <c r="D17" i="2"/>
  <c r="D18" i="2"/>
</calcChain>
</file>

<file path=xl/sharedStrings.xml><?xml version="1.0" encoding="utf-8"?>
<sst xmlns="http://schemas.openxmlformats.org/spreadsheetml/2006/main" count="233" uniqueCount="131">
  <si>
    <t>Latitude</t>
  </si>
  <si>
    <t>Longitude</t>
  </si>
  <si>
    <t>CO2 sinks</t>
  </si>
  <si>
    <t>Type</t>
  </si>
  <si>
    <t>cement</t>
  </si>
  <si>
    <t>Cap</t>
  </si>
  <si>
    <t>CO2 sources</t>
  </si>
  <si>
    <t>NG</t>
  </si>
  <si>
    <t>PC</t>
  </si>
  <si>
    <t>IS</t>
  </si>
  <si>
    <t>GP</t>
  </si>
  <si>
    <t>OR</t>
  </si>
  <si>
    <t>Group</t>
  </si>
  <si>
    <t>Pipeline ID</t>
  </si>
  <si>
    <t>porosity</t>
  </si>
  <si>
    <t>E</t>
  </si>
  <si>
    <t>ro kg/m3</t>
  </si>
  <si>
    <t>Area km2</t>
  </si>
  <si>
    <t>h_m</t>
  </si>
  <si>
    <t>SL</t>
  </si>
  <si>
    <t>MC</t>
  </si>
  <si>
    <t>RM</t>
  </si>
  <si>
    <t>WT</t>
  </si>
  <si>
    <t>d_m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</si>
  <si>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</si>
  <si>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</si>
  <si>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</si>
  <si>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</si>
  <si>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</si>
  <si>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</si>
  <si>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</si>
  <si>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</si>
  <si>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</si>
  <si>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</si>
  <si>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</si>
  <si>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</si>
  <si>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</si>
  <si>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</si>
  <si>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</si>
  <si>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</si>
  <si>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</si>
  <si>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</si>
  <si>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</si>
  <si>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</si>
  <si>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</si>
  <si>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</si>
  <si>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</si>
  <si>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</si>
  <si>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</si>
  <si>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</si>
  <si>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</si>
  <si>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</si>
  <si>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NG1</t>
  </si>
  <si>
    <t>PC1</t>
  </si>
  <si>
    <t>PC2</t>
  </si>
  <si>
    <t>NG2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</si>
  <si>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</si>
  <si>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</si>
  <si>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</si>
  <si>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</si>
  <si>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</si>
  <si>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</si>
  <si>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</si>
  <si>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</si>
  <si>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</si>
  <si>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</si>
  <si>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</si>
  <si>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</si>
  <si>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</si>
  <si>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</si>
  <si>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</si>
  <si>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</si>
  <si>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</si>
  <si>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</si>
  <si>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</si>
  <si>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</si>
  <si>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</si>
  <si>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</si>
  <si>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</si>
  <si>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</si>
  <si>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</si>
  <si>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</si>
  <si>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PC29</t>
  </si>
  <si>
    <t>PC30</t>
  </si>
  <si>
    <t>PC31</t>
  </si>
  <si>
    <t>PC32</t>
  </si>
  <si>
    <t>PC33</t>
  </si>
  <si>
    <t>NG3</t>
  </si>
  <si>
    <t>NG4</t>
  </si>
  <si>
    <t>NG5</t>
  </si>
  <si>
    <t>NG6</t>
  </si>
  <si>
    <t>NG7</t>
  </si>
  <si>
    <t>PC34</t>
  </si>
  <si>
    <t>NG8</t>
  </si>
  <si>
    <t>NG9</t>
  </si>
  <si>
    <t>NG10</t>
  </si>
  <si>
    <t>NG11</t>
  </si>
  <si>
    <t>NG12</t>
  </si>
  <si>
    <t>NG13</t>
  </si>
  <si>
    <t>PC35</t>
  </si>
  <si>
    <t>NG14</t>
  </si>
  <si>
    <t>PC36</t>
  </si>
  <si>
    <t>NG15</t>
  </si>
  <si>
    <t>NG16</t>
  </si>
  <si>
    <t>NG17</t>
  </si>
  <si>
    <t>PC37</t>
  </si>
  <si>
    <t>IS1</t>
  </si>
  <si>
    <t>IS2</t>
  </si>
  <si>
    <t>IS3</t>
  </si>
  <si>
    <t>IS4</t>
  </si>
  <si>
    <t>IS5</t>
  </si>
  <si>
    <t>IS6</t>
  </si>
  <si>
    <t>IS7</t>
  </si>
  <si>
    <t>IS8</t>
  </si>
  <si>
    <t>IS9</t>
  </si>
  <si>
    <t>PC38</t>
  </si>
  <si>
    <t>GP1</t>
  </si>
  <si>
    <t>NG18</t>
  </si>
  <si>
    <t>GP2</t>
  </si>
  <si>
    <t>GP3</t>
  </si>
  <si>
    <t>GP4</t>
  </si>
  <si>
    <t>OR1</t>
  </si>
  <si>
    <t>OR2</t>
  </si>
  <si>
    <t>OR3</t>
  </si>
  <si>
    <t>OR4</t>
  </si>
  <si>
    <t>GP5</t>
  </si>
  <si>
    <t>GP6</t>
  </si>
  <si>
    <t xml:space="preserve">Emission </t>
  </si>
  <si>
    <t>*Cap is the capcity in tCO2</t>
  </si>
  <si>
    <t>*Area, thickness (h), depth, porosity, CO2 density, efficiency coefficient (E), and reservoir type where estimated according to Abuov et al, 2020 and McCoy, 2008)</t>
  </si>
  <si>
    <t>*Emission is in tCO2/year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</si>
</sst>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rgb="FF202124"/>
      <name val="Times New Roman"/>
      <family val="1"/>
      <charset val="204"/>
    </font>
    <font>
      <sz val="11"/>
      <color theme="1"/>
      <name val="Calibri"/>
      <family val="2"/>
      <charset val="204"/>
    </font>
    <font>
      <u/>
      <sz val="10"/>
      <color rgb="FF1155CC"/>
      <name val="Calibri"/>
      <family val="2"/>
      <charset val="204"/>
    </font>
    <font>
      <b/>
      <sz val="8"/>
      <color theme="1"/>
      <name val="Times New Roman"/>
      <family val="1"/>
      <charset val="204"/>
    </font>
    <font>
      <b/>
      <sz val="8"/>
      <color rgb="FFFF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6" fillId="0" borderId="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3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6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2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wrapText="1"/>
    </xf>
    <xf numFmtId="2" fontId="2" fillId="0" borderId="1" xfId="0" applyNumberFormat="1" applyFont="1" applyFill="1" applyBorder="1" applyAlignment="1">
      <alignment wrapText="1"/>
    </xf>
    <xf numFmtId="2" fontId="2" fillId="0" borderId="1" xfId="0" applyNumberFormat="1" applyFont="1" applyFill="1" applyBorder="1"/>
    <xf numFmtId="2" fontId="3" fillId="0" borderId="1" xfId="0" applyNumberFormat="1" applyFont="1" applyFill="1" applyBorder="1"/>
    <xf numFmtId="2" fontId="4" fillId="0" borderId="1" xfId="0" applyNumberFormat="1" applyFont="1" applyFill="1" applyBorder="1"/>
    <xf numFmtId="0" fontId="2" fillId="0" borderId="3" xfId="0" applyFont="1" applyFill="1" applyBorder="1" applyAlignment="1">
      <alignment wrapText="1"/>
    </xf>
    <xf numFmtId="2" fontId="5" fillId="0" borderId="1" xfId="0" applyNumberFormat="1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2" fontId="3" fillId="0" borderId="1" xfId="0" applyNumberFormat="1" applyFont="1" applyFill="1" applyBorder="1" applyAlignment="1">
      <alignment horizontal="right" wrapText="1"/>
    </xf>
    <xf numFmtId="2" fontId="3" fillId="0" borderId="1" xfId="0" applyNumberFormat="1" applyFont="1" applyFill="1" applyBorder="1" applyAlignment="1">
      <alignment horizontal="right"/>
    </xf>
    <xf numFmtId="0" fontId="1" fillId="0" borderId="3" xfId="0" applyFont="1" applyFill="1" applyBorder="1" applyAlignment="1">
      <alignment wrapText="1"/>
    </xf>
    <xf numFmtId="2" fontId="1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0" fillId="3" borderId="0" xfId="0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erikgaini\Downloads\LCA%20and%20Cost%20Results%20with%20Endpoint%20results.xlsx" TargetMode="External"/><Relationship Id="rId1" Type="http://schemas.openxmlformats.org/officeDocument/2006/relationships/externalLinkPath" Target="/Users/serikgaini/Downloads/LCA%20and%20Cost%20Results%20with%20Endpoint%20resul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dpoint"/>
      <sheetName val="LCA -UF"/>
      <sheetName val="LCA - RO"/>
      <sheetName val="LCA Total"/>
      <sheetName val="Normalized overall IA"/>
      <sheetName val="Cost estimations"/>
      <sheetName val="Decision making"/>
      <sheetName val="LCA of brine discharge"/>
      <sheetName val="Figures"/>
      <sheetName val="Endpoint results"/>
    </sheetNames>
    <sheetDataSet>
      <sheetData sheetId="0">
        <row r="40">
          <cell r="C40" t="str">
            <v>Injection wells</v>
          </cell>
        </row>
        <row r="42">
          <cell r="C42">
            <v>13.390200879273999</v>
          </cell>
          <cell r="D42">
            <v>14.7600201751026</v>
          </cell>
          <cell r="E42">
            <v>29.980778461495699</v>
          </cell>
          <cell r="F42">
            <v>0.53672927781551605</v>
          </cell>
          <cell r="G42">
            <v>3.2547997074562E-3</v>
          </cell>
          <cell r="H42">
            <v>6.0775780149568102E-4</v>
          </cell>
          <cell r="I42">
            <v>0</v>
          </cell>
        </row>
        <row r="43">
          <cell r="C43">
            <v>4.0170602637822004</v>
          </cell>
          <cell r="D43">
            <v>22.8040585077974</v>
          </cell>
          <cell r="E43">
            <v>36.944257538337702</v>
          </cell>
          <cell r="F43">
            <v>4.2938342225241302</v>
          </cell>
          <cell r="G43">
            <v>1.95287982447372E-3</v>
          </cell>
          <cell r="H43">
            <v>3.7140754535847201E-4</v>
          </cell>
          <cell r="I43">
            <v>7.6999999999999996E-4</v>
          </cell>
        </row>
        <row r="46">
          <cell r="C46">
            <v>16.737751099092499</v>
          </cell>
          <cell r="D46">
            <v>4.4280060525307796</v>
          </cell>
          <cell r="E46">
            <v>9.2440733589611739</v>
          </cell>
          <cell r="F46">
            <v>0.53672927781551605</v>
          </cell>
          <cell r="G46">
            <v>3.2547997074562E-3</v>
          </cell>
          <cell r="H46">
            <v>6.0775780149568102E-4</v>
          </cell>
          <cell r="I46">
            <v>0</v>
          </cell>
        </row>
        <row r="47">
          <cell r="C47">
            <v>4.0170602637821995</v>
          </cell>
          <cell r="D47">
            <v>9.8400134500683993</v>
          </cell>
          <cell r="E47">
            <v>19.487505999972207</v>
          </cell>
          <cell r="F47">
            <v>2.1469171112620642</v>
          </cell>
          <cell r="G47">
            <v>1.95287982447372E-3</v>
          </cell>
          <cell r="H47">
            <v>3.7140754535847201E-4</v>
          </cell>
          <cell r="I47">
            <v>7.0583333333333327E-4</v>
          </cell>
        </row>
        <row r="50">
          <cell r="C50">
            <v>20.085301318911</v>
          </cell>
          <cell r="D50">
            <v>2.4600033625170998</v>
          </cell>
          <cell r="E50">
            <v>4.9967964102492832</v>
          </cell>
          <cell r="F50">
            <v>1.0734585556310321</v>
          </cell>
          <cell r="G50">
            <v>3.2547997074562E-3</v>
          </cell>
          <cell r="H50">
            <v>6.0775780149568102E-4</v>
          </cell>
          <cell r="I50">
            <v>0</v>
          </cell>
        </row>
        <row r="51">
          <cell r="C51">
            <v>3.3475502198184999</v>
          </cell>
          <cell r="D51">
            <v>6.8880094150478799</v>
          </cell>
          <cell r="E51">
            <v>13.491350307673065</v>
          </cell>
          <cell r="F51">
            <v>1.610187833446548</v>
          </cell>
          <cell r="G51">
            <v>1.95287982447372E-3</v>
          </cell>
          <cell r="H51">
            <v>3.7140754535847201E-4</v>
          </cell>
          <cell r="I51">
            <v>1.6683333333333331E-3</v>
          </cell>
        </row>
        <row r="54">
          <cell r="C54">
            <v>19.415791274947299</v>
          </cell>
          <cell r="D54">
            <v>4.9200067250341997</v>
          </cell>
          <cell r="E54">
            <v>9.9935928204985665</v>
          </cell>
          <cell r="F54">
            <v>0.53672927781551605</v>
          </cell>
          <cell r="G54">
            <v>3.2547997074562E-3</v>
          </cell>
          <cell r="H54">
            <v>6.0775780149568102E-4</v>
          </cell>
          <cell r="I54">
            <v>0</v>
          </cell>
        </row>
        <row r="55">
          <cell r="C55">
            <v>4.6865703077458996</v>
          </cell>
          <cell r="D55">
            <v>7.87201076005472</v>
          </cell>
          <cell r="E55">
            <v>15.739908692285242</v>
          </cell>
          <cell r="F55">
            <v>2.1469171112620642</v>
          </cell>
          <cell r="G55">
            <v>1.95287982447372E-3</v>
          </cell>
          <cell r="H55">
            <v>3.7140754535847201E-4</v>
          </cell>
          <cell r="I55">
            <v>1.6683333333333331E-3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F55DC-CA9B-4DE5-845C-AD40BE909709}">
  <dimension ref="A1:Z89"/>
  <sheetViews>
    <sheetView tabSelected="1" zoomScale="93" zoomScaleNormal="115" workbookViewId="0">
      <selection activeCell="G3" sqref="G3"/>
    </sheetView>
  </sheetViews>
  <sheetFormatPr defaultColWidth="8.77734375" defaultRowHeight="14.4" x14ac:dyDescent="0.3"/>
  <cols>
    <col min="1" max="1" width="16.109375" customWidth="1"/>
    <col min="2" max="2" width="15.6640625" customWidth="1"/>
    <col min="3" max="3" width="12.6640625" bestFit="1" customWidth="1"/>
    <col min="4" max="4" width="16.6640625" bestFit="1" customWidth="1"/>
    <col min="5" max="5" width="8.77734375" style="8"/>
  </cols>
  <sheetData>
    <row r="1" spans="1:7" x14ac:dyDescent="0.3">
      <c r="A1" s="41" t="s">
        <v>6</v>
      </c>
      <c r="B1" s="9" t="s">
        <v>0</v>
      </c>
      <c r="C1" s="9" t="s">
        <v>1</v>
      </c>
      <c r="D1" s="9" t="s">
        <v>127</v>
      </c>
      <c r="E1" s="42" t="s">
        <v>3</v>
      </c>
      <c r="G1" t="s">
        <v>130</v>
      </c>
    </row>
    <row r="2" spans="1:7" x14ac:dyDescent="0.3">
      <c r="A2" s="28" t="s">
        <v>41</v>
      </c>
      <c r="B2" s="29">
        <v>42.356968031603301</v>
      </c>
      <c r="C2" s="30">
        <v>69.732593910000006</v>
      </c>
      <c r="D2" s="30">
        <v>1384445</v>
      </c>
      <c r="E2" s="27" t="s">
        <v>4</v>
      </c>
    </row>
    <row r="3" spans="1:7" x14ac:dyDescent="0.3">
      <c r="A3" s="28" t="s">
        <v>42</v>
      </c>
      <c r="B3" s="29">
        <v>50.399448654581299</v>
      </c>
      <c r="C3" s="30">
        <v>80.182987060000002</v>
      </c>
      <c r="D3" s="30">
        <v>780265</v>
      </c>
      <c r="E3" s="27" t="s">
        <v>4</v>
      </c>
    </row>
    <row r="4" spans="1:7" x14ac:dyDescent="0.3">
      <c r="A4" s="28" t="s">
        <v>43</v>
      </c>
      <c r="B4" s="29">
        <v>50.237270306302101</v>
      </c>
      <c r="C4" s="30">
        <v>73.04412542</v>
      </c>
      <c r="D4" s="30">
        <v>806994</v>
      </c>
      <c r="E4" s="27" t="s">
        <v>4</v>
      </c>
    </row>
    <row r="5" spans="1:7" x14ac:dyDescent="0.3">
      <c r="A5" s="28" t="s">
        <v>44</v>
      </c>
      <c r="B5" s="29">
        <v>50.237270306302101</v>
      </c>
      <c r="C5" s="30">
        <v>73.04412542</v>
      </c>
      <c r="D5" s="30">
        <v>526215</v>
      </c>
      <c r="E5" s="27" t="s">
        <v>4</v>
      </c>
    </row>
    <row r="6" spans="1:7" x14ac:dyDescent="0.3">
      <c r="A6" s="28" t="s">
        <v>45</v>
      </c>
      <c r="B6" s="29">
        <v>49.655632625056903</v>
      </c>
      <c r="C6" s="30">
        <v>81.177039147720507</v>
      </c>
      <c r="D6" s="30">
        <v>463010</v>
      </c>
      <c r="E6" s="27" t="s">
        <v>4</v>
      </c>
    </row>
    <row r="7" spans="1:7" x14ac:dyDescent="0.3">
      <c r="A7" s="28" t="s">
        <v>46</v>
      </c>
      <c r="B7" s="29">
        <v>49.642555039951297</v>
      </c>
      <c r="C7" s="30">
        <v>83.575051060000007</v>
      </c>
      <c r="D7" s="30">
        <v>913686</v>
      </c>
      <c r="E7" s="27" t="s">
        <v>4</v>
      </c>
    </row>
    <row r="8" spans="1:7" x14ac:dyDescent="0.3">
      <c r="A8" s="28" t="s">
        <v>47</v>
      </c>
      <c r="B8" s="29">
        <v>42.292090213878303</v>
      </c>
      <c r="C8" s="30">
        <v>69.645595999999998</v>
      </c>
      <c r="D8" s="30">
        <v>763046</v>
      </c>
      <c r="E8" s="27" t="s">
        <v>4</v>
      </c>
    </row>
    <row r="9" spans="1:7" x14ac:dyDescent="0.3">
      <c r="A9" s="28" t="s">
        <v>48</v>
      </c>
      <c r="B9" s="29">
        <v>45.389905409120303</v>
      </c>
      <c r="C9" s="30">
        <v>73.651816589999996</v>
      </c>
      <c r="D9" s="30">
        <v>1042949</v>
      </c>
      <c r="E9" s="27" t="s">
        <v>4</v>
      </c>
    </row>
    <row r="10" spans="1:7" x14ac:dyDescent="0.3">
      <c r="A10" s="28" t="s">
        <v>49</v>
      </c>
      <c r="B10" s="29">
        <v>42.549703724484303</v>
      </c>
      <c r="C10" s="30">
        <v>69.990322480000003</v>
      </c>
      <c r="D10" s="30">
        <v>273063</v>
      </c>
      <c r="E10" s="27" t="s">
        <v>4</v>
      </c>
    </row>
    <row r="11" spans="1:7" x14ac:dyDescent="0.3">
      <c r="A11" s="28" t="s">
        <v>50</v>
      </c>
      <c r="B11" s="29">
        <v>44.090415</v>
      </c>
      <c r="C11" s="30">
        <v>52.122205999999998</v>
      </c>
      <c r="D11" s="30">
        <v>679398</v>
      </c>
      <c r="E11" s="27" t="s">
        <v>4</v>
      </c>
    </row>
    <row r="12" spans="1:7" x14ac:dyDescent="0.3">
      <c r="A12" s="28" t="s">
        <v>51</v>
      </c>
      <c r="B12" s="30">
        <v>53.156480580600302</v>
      </c>
      <c r="C12" s="31">
        <v>71.218339439999994</v>
      </c>
      <c r="D12" s="32">
        <v>423774</v>
      </c>
      <c r="E12" s="27" t="s">
        <v>4</v>
      </c>
    </row>
    <row r="13" spans="1:7" x14ac:dyDescent="0.3">
      <c r="A13" s="33" t="s">
        <v>52</v>
      </c>
      <c r="B13" s="34">
        <v>43.275444</v>
      </c>
      <c r="C13" s="30">
        <v>76.930306000000002</v>
      </c>
      <c r="D13" s="29">
        <v>628232</v>
      </c>
      <c r="E13" s="27" t="s">
        <v>7</v>
      </c>
    </row>
    <row r="14" spans="1:7" x14ac:dyDescent="0.3">
      <c r="A14" s="33" t="s">
        <v>53</v>
      </c>
      <c r="B14" s="34">
        <v>43.295110999999999</v>
      </c>
      <c r="C14" s="30">
        <v>76.798944000000006</v>
      </c>
      <c r="D14" s="29">
        <v>4343392</v>
      </c>
      <c r="E14" s="27" t="s">
        <v>8</v>
      </c>
    </row>
    <row r="15" spans="1:7" x14ac:dyDescent="0.3">
      <c r="A15" s="33" t="s">
        <v>54</v>
      </c>
      <c r="B15" s="34">
        <v>43.422611000000003</v>
      </c>
      <c r="C15" s="30">
        <v>77.006111000000004</v>
      </c>
      <c r="D15" s="29">
        <v>1117328</v>
      </c>
      <c r="E15" s="27" t="s">
        <v>8</v>
      </c>
    </row>
    <row r="16" spans="1:7" x14ac:dyDescent="0.3">
      <c r="A16" s="33" t="s">
        <v>55</v>
      </c>
      <c r="B16" s="34">
        <v>43.239916999999998</v>
      </c>
      <c r="C16" s="30">
        <v>76.848305999999994</v>
      </c>
      <c r="D16" s="29">
        <v>206881</v>
      </c>
      <c r="E16" s="27" t="s">
        <v>7</v>
      </c>
    </row>
    <row r="17" spans="1:5" x14ac:dyDescent="0.3">
      <c r="A17" s="33" t="s">
        <v>56</v>
      </c>
      <c r="B17" s="34">
        <v>51.886389000000001</v>
      </c>
      <c r="C17" s="30">
        <v>75.376666999999998</v>
      </c>
      <c r="D17" s="29">
        <v>17145580</v>
      </c>
      <c r="E17" s="27" t="s">
        <v>8</v>
      </c>
    </row>
    <row r="18" spans="1:5" x14ac:dyDescent="0.3">
      <c r="A18" s="33" t="s">
        <v>57</v>
      </c>
      <c r="B18" s="34">
        <v>49.513111000000002</v>
      </c>
      <c r="C18" s="30">
        <v>72.796222</v>
      </c>
      <c r="D18" s="29">
        <v>4672562</v>
      </c>
      <c r="E18" s="27" t="s">
        <v>8</v>
      </c>
    </row>
    <row r="19" spans="1:5" x14ac:dyDescent="0.3">
      <c r="A19" s="33" t="s">
        <v>58</v>
      </c>
      <c r="B19" s="34">
        <v>47.785167000000001</v>
      </c>
      <c r="C19" s="30">
        <v>67.744416999999999</v>
      </c>
      <c r="D19" s="29">
        <v>1927391</v>
      </c>
      <c r="E19" s="27" t="s">
        <v>8</v>
      </c>
    </row>
    <row r="20" spans="1:5" x14ac:dyDescent="0.3">
      <c r="A20" s="33" t="s">
        <v>59</v>
      </c>
      <c r="B20" s="34">
        <v>46.828221999999997</v>
      </c>
      <c r="C20" s="30">
        <v>74.949749999999995</v>
      </c>
      <c r="D20" s="29">
        <v>1762168</v>
      </c>
      <c r="E20" s="27" t="s">
        <v>8</v>
      </c>
    </row>
    <row r="21" spans="1:5" x14ac:dyDescent="0.3">
      <c r="A21" s="33" t="s">
        <v>60</v>
      </c>
      <c r="B21" s="34">
        <v>52.022416999999997</v>
      </c>
      <c r="C21" s="30">
        <v>75.474582999999996</v>
      </c>
      <c r="D21" s="29">
        <v>5244317</v>
      </c>
      <c r="E21" s="27" t="s">
        <v>8</v>
      </c>
    </row>
    <row r="22" spans="1:5" x14ac:dyDescent="0.3">
      <c r="A22" s="33" t="s">
        <v>61</v>
      </c>
      <c r="B22" s="34">
        <v>49.841444000000003</v>
      </c>
      <c r="C22" s="30">
        <v>73.079806000000005</v>
      </c>
      <c r="D22" s="29">
        <v>418320</v>
      </c>
      <c r="E22" s="27" t="s">
        <v>8</v>
      </c>
    </row>
    <row r="23" spans="1:5" x14ac:dyDescent="0.3">
      <c r="A23" s="33" t="s">
        <v>62</v>
      </c>
      <c r="B23" s="34">
        <v>49.913832999999997</v>
      </c>
      <c r="C23" s="30">
        <v>73.235749999999996</v>
      </c>
      <c r="D23" s="29">
        <v>5460908</v>
      </c>
      <c r="E23" s="27" t="s">
        <v>8</v>
      </c>
    </row>
    <row r="24" spans="1:5" x14ac:dyDescent="0.3">
      <c r="A24" s="33" t="s">
        <v>63</v>
      </c>
      <c r="B24" s="34">
        <v>51.200611000000002</v>
      </c>
      <c r="C24" s="30">
        <v>71.427750000000003</v>
      </c>
      <c r="D24" s="29">
        <v>641942</v>
      </c>
      <c r="E24" s="27" t="s">
        <v>8</v>
      </c>
    </row>
    <row r="25" spans="1:5" x14ac:dyDescent="0.3">
      <c r="A25" s="33" t="s">
        <v>64</v>
      </c>
      <c r="B25" s="34">
        <v>51.191139</v>
      </c>
      <c r="C25" s="30">
        <v>71.507166999999995</v>
      </c>
      <c r="D25" s="29">
        <v>5958868</v>
      </c>
      <c r="E25" s="27" t="s">
        <v>8</v>
      </c>
    </row>
    <row r="26" spans="1:5" x14ac:dyDescent="0.3">
      <c r="A26" s="33" t="s">
        <v>65</v>
      </c>
      <c r="B26" s="34">
        <v>52.321944000000002</v>
      </c>
      <c r="C26" s="30">
        <v>76.966194000000002</v>
      </c>
      <c r="D26" s="29">
        <v>976257</v>
      </c>
      <c r="E26" s="27" t="s">
        <v>8</v>
      </c>
    </row>
    <row r="27" spans="1:5" x14ac:dyDescent="0.3">
      <c r="A27" s="33" t="s">
        <v>66</v>
      </c>
      <c r="B27" s="34">
        <v>52.365943999999999</v>
      </c>
      <c r="C27" s="30">
        <v>76.932472000000004</v>
      </c>
      <c r="D27" s="29">
        <v>4240803</v>
      </c>
      <c r="E27" s="27" t="s">
        <v>8</v>
      </c>
    </row>
    <row r="28" spans="1:5" x14ac:dyDescent="0.3">
      <c r="A28" s="33" t="s">
        <v>67</v>
      </c>
      <c r="B28" s="34">
        <v>51.695166999999998</v>
      </c>
      <c r="C28" s="30">
        <v>75.330611000000005</v>
      </c>
      <c r="D28" s="29">
        <v>795010</v>
      </c>
      <c r="E28" s="27" t="s">
        <v>8</v>
      </c>
    </row>
    <row r="29" spans="1:5" x14ac:dyDescent="0.3">
      <c r="A29" s="33" t="s">
        <v>68</v>
      </c>
      <c r="B29" s="34">
        <v>54.898361000000001</v>
      </c>
      <c r="C29" s="30">
        <v>69.187332999999995</v>
      </c>
      <c r="D29" s="29">
        <v>4128530</v>
      </c>
      <c r="E29" s="27" t="s">
        <v>8</v>
      </c>
    </row>
    <row r="30" spans="1:5" x14ac:dyDescent="0.3">
      <c r="A30" s="33" t="s">
        <v>69</v>
      </c>
      <c r="B30" s="34">
        <v>49.981417</v>
      </c>
      <c r="C30" s="30">
        <v>82.615750000000006</v>
      </c>
      <c r="D30" s="29">
        <v>3152269</v>
      </c>
      <c r="E30" s="27" t="s">
        <v>8</v>
      </c>
    </row>
    <row r="31" spans="1:5" x14ac:dyDescent="0.3">
      <c r="A31" s="33" t="s">
        <v>70</v>
      </c>
      <c r="B31" s="34">
        <v>52.483888999999998</v>
      </c>
      <c r="C31" s="30">
        <v>72.031917000000007</v>
      </c>
      <c r="D31" s="29">
        <v>1212959</v>
      </c>
      <c r="E31" s="27" t="s">
        <v>8</v>
      </c>
    </row>
    <row r="32" spans="1:5" x14ac:dyDescent="0.3">
      <c r="A32" s="33" t="s">
        <v>71</v>
      </c>
      <c r="B32" s="29">
        <v>50.353777999999998</v>
      </c>
      <c r="C32" s="30">
        <v>83.484166999999999</v>
      </c>
      <c r="D32" s="29">
        <v>629945</v>
      </c>
      <c r="E32" s="27" t="s">
        <v>8</v>
      </c>
    </row>
    <row r="33" spans="1:5" x14ac:dyDescent="0.3">
      <c r="A33" s="33" t="s">
        <v>72</v>
      </c>
      <c r="B33" s="34">
        <v>50.088306000000003</v>
      </c>
      <c r="C33" s="30">
        <v>72.916139000000001</v>
      </c>
      <c r="D33" s="29">
        <v>694600</v>
      </c>
      <c r="E33" s="27" t="s">
        <v>8</v>
      </c>
    </row>
    <row r="34" spans="1:5" x14ac:dyDescent="0.3">
      <c r="A34" s="33" t="s">
        <v>73</v>
      </c>
      <c r="B34" s="34">
        <v>50.029055999999997</v>
      </c>
      <c r="C34" s="30">
        <v>82.769917000000007</v>
      </c>
      <c r="D34" s="29">
        <v>513234</v>
      </c>
      <c r="E34" s="27" t="s">
        <v>8</v>
      </c>
    </row>
    <row r="35" spans="1:5" x14ac:dyDescent="0.3">
      <c r="A35" s="33" t="s">
        <v>74</v>
      </c>
      <c r="B35" s="34">
        <v>53.301611000000001</v>
      </c>
      <c r="C35" s="30">
        <v>69.419694000000007</v>
      </c>
      <c r="D35" s="29">
        <v>488533</v>
      </c>
      <c r="E35" s="27" t="s">
        <v>8</v>
      </c>
    </row>
    <row r="36" spans="1:5" x14ac:dyDescent="0.3">
      <c r="A36" s="33" t="s">
        <v>75</v>
      </c>
      <c r="B36" s="34">
        <v>44.860917000000001</v>
      </c>
      <c r="C36" s="30">
        <v>78.742444000000006</v>
      </c>
      <c r="D36" s="29">
        <v>265273</v>
      </c>
      <c r="E36" s="27" t="s">
        <v>8</v>
      </c>
    </row>
    <row r="37" spans="1:5" x14ac:dyDescent="0.3">
      <c r="A37" s="33" t="s">
        <v>76</v>
      </c>
      <c r="B37" s="34">
        <v>44.988805999999997</v>
      </c>
      <c r="C37" s="30">
        <v>78.362306000000004</v>
      </c>
      <c r="D37" s="29">
        <v>241096</v>
      </c>
      <c r="E37" s="27" t="s">
        <v>8</v>
      </c>
    </row>
    <row r="38" spans="1:5" x14ac:dyDescent="0.3">
      <c r="A38" s="33" t="s">
        <v>77</v>
      </c>
      <c r="B38" s="34">
        <v>50.369278000000001</v>
      </c>
      <c r="C38" s="30">
        <v>80.261194000000003</v>
      </c>
      <c r="D38" s="29">
        <v>246325</v>
      </c>
      <c r="E38" s="27" t="s">
        <v>8</v>
      </c>
    </row>
    <row r="39" spans="1:5" x14ac:dyDescent="0.3">
      <c r="A39" s="33" t="s">
        <v>78</v>
      </c>
      <c r="B39" s="34">
        <v>50.421778000000003</v>
      </c>
      <c r="C39" s="30">
        <v>80.25</v>
      </c>
      <c r="D39" s="29">
        <v>94519</v>
      </c>
      <c r="E39" s="27" t="s">
        <v>8</v>
      </c>
    </row>
    <row r="40" spans="1:5" x14ac:dyDescent="0.3">
      <c r="A40" s="33" t="s">
        <v>79</v>
      </c>
      <c r="B40" s="34">
        <v>50.396943999999998</v>
      </c>
      <c r="C40" s="30">
        <v>80.174499999999995</v>
      </c>
      <c r="D40" s="29">
        <v>85330</v>
      </c>
      <c r="E40" s="27" t="s">
        <v>8</v>
      </c>
    </row>
    <row r="41" spans="1:5" x14ac:dyDescent="0.3">
      <c r="A41" s="33" t="s">
        <v>80</v>
      </c>
      <c r="B41" s="34">
        <v>50.404972000000001</v>
      </c>
      <c r="C41" s="30">
        <v>80.261139</v>
      </c>
      <c r="D41" s="29">
        <v>38960</v>
      </c>
      <c r="E41" s="27" t="s">
        <v>8</v>
      </c>
    </row>
    <row r="42" spans="1:5" x14ac:dyDescent="0.3">
      <c r="A42" s="33" t="s">
        <v>81</v>
      </c>
      <c r="B42" s="34">
        <v>50.416055999999998</v>
      </c>
      <c r="C42" s="30">
        <v>80.247693999999996</v>
      </c>
      <c r="D42" s="29">
        <v>48978</v>
      </c>
      <c r="E42" s="27" t="s">
        <v>8</v>
      </c>
    </row>
    <row r="43" spans="1:5" x14ac:dyDescent="0.3">
      <c r="A43" s="33" t="s">
        <v>82</v>
      </c>
      <c r="B43" s="34">
        <v>50.459860999999997</v>
      </c>
      <c r="C43" s="30">
        <v>80.211860999999999</v>
      </c>
      <c r="D43" s="29">
        <v>21432</v>
      </c>
      <c r="E43" s="27" t="s">
        <v>8</v>
      </c>
    </row>
    <row r="44" spans="1:5" x14ac:dyDescent="0.3">
      <c r="A44" s="33" t="s">
        <v>83</v>
      </c>
      <c r="B44" s="34">
        <v>50.429194000000003</v>
      </c>
      <c r="C44" s="30">
        <v>80.231166999999999</v>
      </c>
      <c r="D44" s="29">
        <v>19600</v>
      </c>
      <c r="E44" s="27" t="s">
        <v>8</v>
      </c>
    </row>
    <row r="45" spans="1:5" x14ac:dyDescent="0.3">
      <c r="A45" s="33" t="s">
        <v>84</v>
      </c>
      <c r="B45" s="29">
        <v>49.753857000000004</v>
      </c>
      <c r="C45" s="30">
        <v>84.271675999999999</v>
      </c>
      <c r="D45" s="29">
        <v>146695</v>
      </c>
      <c r="E45" s="27" t="s">
        <v>8</v>
      </c>
    </row>
    <row r="46" spans="1:5" x14ac:dyDescent="0.3">
      <c r="A46" s="33" t="s">
        <v>85</v>
      </c>
      <c r="B46" s="29">
        <v>49.704916604904</v>
      </c>
      <c r="C46" s="30">
        <v>72.5513159816241</v>
      </c>
      <c r="D46" s="29">
        <v>124990</v>
      </c>
      <c r="E46" s="27" t="s">
        <v>8</v>
      </c>
    </row>
    <row r="47" spans="1:5" x14ac:dyDescent="0.3">
      <c r="A47" s="33" t="s">
        <v>86</v>
      </c>
      <c r="B47" s="29">
        <v>47.898722999999997</v>
      </c>
      <c r="C47" s="30">
        <v>67.525299000000004</v>
      </c>
      <c r="D47" s="29">
        <v>131534</v>
      </c>
      <c r="E47" s="27" t="s">
        <v>8</v>
      </c>
    </row>
    <row r="48" spans="1:5" x14ac:dyDescent="0.3">
      <c r="A48" s="33" t="s">
        <v>87</v>
      </c>
      <c r="B48" s="29">
        <v>43.608283</v>
      </c>
      <c r="C48" s="30">
        <v>51.282549000000003</v>
      </c>
      <c r="D48" s="29">
        <v>333961</v>
      </c>
      <c r="E48" s="27" t="s">
        <v>7</v>
      </c>
    </row>
    <row r="49" spans="1:5" x14ac:dyDescent="0.3">
      <c r="A49" s="33" t="s">
        <v>88</v>
      </c>
      <c r="B49" s="29">
        <v>43.607286999999999</v>
      </c>
      <c r="C49" s="30">
        <v>51.283707999999997</v>
      </c>
      <c r="D49" s="29">
        <v>2213440</v>
      </c>
      <c r="E49" s="27" t="s">
        <v>7</v>
      </c>
    </row>
    <row r="50" spans="1:5" x14ac:dyDescent="0.3">
      <c r="A50" s="33" t="s">
        <v>89</v>
      </c>
      <c r="B50" s="29">
        <v>43.609943999999999</v>
      </c>
      <c r="C50" s="30">
        <v>51.278162999999999</v>
      </c>
      <c r="D50" s="29">
        <v>1521878</v>
      </c>
      <c r="E50" s="27" t="s">
        <v>7</v>
      </c>
    </row>
    <row r="51" spans="1:5" x14ac:dyDescent="0.3">
      <c r="A51" s="33" t="s">
        <v>90</v>
      </c>
      <c r="B51" s="29">
        <v>42.845398837161902</v>
      </c>
      <c r="C51" s="30">
        <v>71.480985365775197</v>
      </c>
      <c r="D51" s="29">
        <v>1291043</v>
      </c>
      <c r="E51" s="27" t="s">
        <v>7</v>
      </c>
    </row>
    <row r="52" spans="1:5" x14ac:dyDescent="0.3">
      <c r="A52" s="33" t="s">
        <v>91</v>
      </c>
      <c r="B52" s="29">
        <v>47.086083000000002</v>
      </c>
      <c r="C52" s="30">
        <v>51.940803000000002</v>
      </c>
      <c r="D52" s="29">
        <v>1675296</v>
      </c>
      <c r="E52" s="27" t="s">
        <v>7</v>
      </c>
    </row>
    <row r="53" spans="1:5" x14ac:dyDescent="0.3">
      <c r="A53" s="33" t="s">
        <v>92</v>
      </c>
      <c r="B53" s="29">
        <v>50.331926000000003</v>
      </c>
      <c r="C53" s="30">
        <v>57.145341999999999</v>
      </c>
      <c r="D53" s="29">
        <v>1113939</v>
      </c>
      <c r="E53" s="27" t="s">
        <v>8</v>
      </c>
    </row>
    <row r="54" spans="1:5" x14ac:dyDescent="0.3">
      <c r="A54" s="33" t="s">
        <v>93</v>
      </c>
      <c r="B54" s="29">
        <v>42.2733601612399</v>
      </c>
      <c r="C54" s="30">
        <v>69.695833352766002</v>
      </c>
      <c r="D54" s="29">
        <v>445107</v>
      </c>
      <c r="E54" s="27" t="s">
        <v>7</v>
      </c>
    </row>
    <row r="55" spans="1:5" x14ac:dyDescent="0.3">
      <c r="A55" s="33" t="s">
        <v>94</v>
      </c>
      <c r="B55" s="29">
        <v>50.287937999999997</v>
      </c>
      <c r="C55" s="30">
        <v>57.225006999999998</v>
      </c>
      <c r="D55" s="29">
        <v>462844</v>
      </c>
      <c r="E55" s="27" t="s">
        <v>7</v>
      </c>
    </row>
    <row r="56" spans="1:5" x14ac:dyDescent="0.3">
      <c r="A56" s="33" t="s">
        <v>95</v>
      </c>
      <c r="B56" s="29">
        <v>51.221167000000001</v>
      </c>
      <c r="C56" s="30">
        <v>51.367221999999998</v>
      </c>
      <c r="D56" s="29">
        <v>474465</v>
      </c>
      <c r="E56" s="27" t="s">
        <v>7</v>
      </c>
    </row>
    <row r="57" spans="1:5" x14ac:dyDescent="0.3">
      <c r="A57" s="33" t="s">
        <v>96</v>
      </c>
      <c r="B57" s="29">
        <v>45.948634351543902</v>
      </c>
      <c r="C57" s="30">
        <v>65.694608178456804</v>
      </c>
      <c r="D57" s="29">
        <v>433380</v>
      </c>
      <c r="E57" s="27" t="s">
        <v>7</v>
      </c>
    </row>
    <row r="58" spans="1:5" x14ac:dyDescent="0.3">
      <c r="A58" s="33" t="s">
        <v>97</v>
      </c>
      <c r="B58" s="29">
        <v>42.906442170426303</v>
      </c>
      <c r="C58" s="30">
        <v>71.405865918997506</v>
      </c>
      <c r="D58" s="29">
        <v>190474</v>
      </c>
      <c r="E58" s="27" t="s">
        <v>7</v>
      </c>
    </row>
    <row r="59" spans="1:5" x14ac:dyDescent="0.3">
      <c r="A59" s="33" t="s">
        <v>98</v>
      </c>
      <c r="B59" s="29">
        <v>51.273318043807002</v>
      </c>
      <c r="C59" s="30">
        <v>51.483134366377598</v>
      </c>
      <c r="D59" s="29">
        <v>192534</v>
      </c>
      <c r="E59" s="27" t="s">
        <v>7</v>
      </c>
    </row>
    <row r="60" spans="1:5" x14ac:dyDescent="0.3">
      <c r="A60" s="33" t="s">
        <v>99</v>
      </c>
      <c r="B60" s="29">
        <v>44.867442185824999</v>
      </c>
      <c r="C60" s="30">
        <v>65.456309676500197</v>
      </c>
      <c r="D60" s="29">
        <v>127240</v>
      </c>
      <c r="E60" s="27" t="s">
        <v>8</v>
      </c>
    </row>
    <row r="61" spans="1:5" x14ac:dyDescent="0.3">
      <c r="A61" s="33" t="s">
        <v>100</v>
      </c>
      <c r="B61" s="29">
        <v>44.867442185824999</v>
      </c>
      <c r="C61" s="30">
        <v>65.456309676500197</v>
      </c>
      <c r="D61" s="29">
        <v>145198</v>
      </c>
      <c r="E61" s="27" t="s">
        <v>7</v>
      </c>
    </row>
    <row r="62" spans="1:5" x14ac:dyDescent="0.3">
      <c r="A62" s="33" t="s">
        <v>101</v>
      </c>
      <c r="B62" s="29">
        <v>45.626640000000002</v>
      </c>
      <c r="C62" s="30">
        <v>63.307437999999998</v>
      </c>
      <c r="D62" s="29">
        <v>124269</v>
      </c>
      <c r="E62" s="27" t="s">
        <v>8</v>
      </c>
    </row>
    <row r="63" spans="1:5" x14ac:dyDescent="0.3">
      <c r="A63" s="33" t="s">
        <v>102</v>
      </c>
      <c r="B63" s="29">
        <v>43.204050405462098</v>
      </c>
      <c r="C63" s="30">
        <v>76.867343648864804</v>
      </c>
      <c r="D63" s="29">
        <v>160540</v>
      </c>
      <c r="E63" s="27" t="s">
        <v>7</v>
      </c>
    </row>
    <row r="64" spans="1:5" x14ac:dyDescent="0.3">
      <c r="A64" s="33" t="s">
        <v>103</v>
      </c>
      <c r="B64" s="29">
        <v>43.210386999999997</v>
      </c>
      <c r="C64" s="30">
        <v>76.894914999999997</v>
      </c>
      <c r="D64" s="29">
        <v>121033</v>
      </c>
      <c r="E64" s="27" t="s">
        <v>7</v>
      </c>
    </row>
    <row r="65" spans="1:26" x14ac:dyDescent="0.3">
      <c r="A65" s="33" t="s">
        <v>104</v>
      </c>
      <c r="B65" s="29">
        <v>51.269477000000002</v>
      </c>
      <c r="C65" s="30">
        <v>51.104447999999998</v>
      </c>
      <c r="D65" s="29">
        <v>300787</v>
      </c>
      <c r="E65" s="27" t="s">
        <v>7</v>
      </c>
    </row>
    <row r="66" spans="1:26" x14ac:dyDescent="0.3">
      <c r="A66" s="33" t="s">
        <v>101</v>
      </c>
      <c r="B66" s="29">
        <v>52.1200834730286</v>
      </c>
      <c r="C66" s="30">
        <v>76.877901260000002</v>
      </c>
      <c r="D66" s="29">
        <v>14321536</v>
      </c>
      <c r="E66" s="27" t="s">
        <v>8</v>
      </c>
    </row>
    <row r="67" spans="1:26" x14ac:dyDescent="0.3">
      <c r="A67" s="33" t="s">
        <v>105</v>
      </c>
      <c r="B67" s="29">
        <v>51.676790631457898</v>
      </c>
      <c r="C67" s="30">
        <v>75.471421599999999</v>
      </c>
      <c r="D67" s="29">
        <v>1039831</v>
      </c>
      <c r="E67" s="27" t="s">
        <v>8</v>
      </c>
    </row>
    <row r="68" spans="1:26" x14ac:dyDescent="0.3">
      <c r="A68" s="35" t="s">
        <v>106</v>
      </c>
      <c r="B68" s="36">
        <v>50.051837047459102</v>
      </c>
      <c r="C68" s="37">
        <v>73.014490240000001</v>
      </c>
      <c r="D68" s="36">
        <v>15952006</v>
      </c>
      <c r="E68" s="27" t="s">
        <v>9</v>
      </c>
    </row>
    <row r="69" spans="1:26" x14ac:dyDescent="0.3">
      <c r="A69" s="35" t="s">
        <v>107</v>
      </c>
      <c r="B69" s="36">
        <v>50.388241000000001</v>
      </c>
      <c r="C69" s="37">
        <v>57.085160999999999</v>
      </c>
      <c r="D69" s="36">
        <v>2223265</v>
      </c>
      <c r="E69" s="27" t="s">
        <v>9</v>
      </c>
    </row>
    <row r="70" spans="1:26" ht="37.799999999999997" customHeight="1" x14ac:dyDescent="0.3">
      <c r="A70" s="35" t="s">
        <v>108</v>
      </c>
      <c r="B70" s="36">
        <v>50.345711100000003</v>
      </c>
      <c r="C70" s="37">
        <v>57.139307789999997</v>
      </c>
      <c r="D70" s="36">
        <v>1710110</v>
      </c>
      <c r="E70" s="27" t="s">
        <v>9</v>
      </c>
    </row>
    <row r="71" spans="1:26" x14ac:dyDescent="0.3">
      <c r="A71" s="35" t="s">
        <v>109</v>
      </c>
      <c r="B71" s="36">
        <v>50.247768000000001</v>
      </c>
      <c r="C71" s="37">
        <v>58.446944000000002</v>
      </c>
      <c r="D71" s="36">
        <v>286023</v>
      </c>
      <c r="E71" s="27" t="s">
        <v>9</v>
      </c>
    </row>
    <row r="72" spans="1:26" x14ac:dyDescent="0.3">
      <c r="A72" s="35" t="s">
        <v>110</v>
      </c>
      <c r="B72" s="36">
        <v>52.329393478021402</v>
      </c>
      <c r="C72" s="37">
        <v>76.949818230000005</v>
      </c>
      <c r="D72" s="36">
        <v>152997</v>
      </c>
      <c r="E72" s="27" t="s">
        <v>9</v>
      </c>
    </row>
    <row r="73" spans="1:26" x14ac:dyDescent="0.3">
      <c r="A73" s="35" t="s">
        <v>111</v>
      </c>
      <c r="B73" s="36">
        <v>46.829318999999998</v>
      </c>
      <c r="C73" s="37">
        <v>74.940759999999997</v>
      </c>
      <c r="D73" s="36">
        <v>123428</v>
      </c>
      <c r="E73" s="27" t="s">
        <v>9</v>
      </c>
    </row>
    <row r="74" spans="1:26" x14ac:dyDescent="0.3">
      <c r="A74" s="35" t="s">
        <v>112</v>
      </c>
      <c r="B74" s="36">
        <v>49.9858872156262</v>
      </c>
      <c r="C74" s="37">
        <v>82.617727090000002</v>
      </c>
      <c r="D74" s="36">
        <v>682247</v>
      </c>
      <c r="E74" s="27" t="s">
        <v>9</v>
      </c>
    </row>
    <row r="75" spans="1:26" x14ac:dyDescent="0.3">
      <c r="A75" s="35" t="s">
        <v>113</v>
      </c>
      <c r="B75" s="36">
        <v>50.350596333519199</v>
      </c>
      <c r="C75" s="37">
        <v>83.491752739999995</v>
      </c>
      <c r="D75" s="36">
        <v>533615</v>
      </c>
      <c r="E75" s="27" t="s">
        <v>9</v>
      </c>
    </row>
    <row r="76" spans="1:26" x14ac:dyDescent="0.3">
      <c r="A76" s="35" t="s">
        <v>114</v>
      </c>
      <c r="B76" s="36">
        <v>52.256254868767101</v>
      </c>
      <c r="C76" s="37">
        <v>77.045028470000005</v>
      </c>
      <c r="D76" s="36">
        <v>3251027</v>
      </c>
      <c r="E76" s="27" t="s">
        <v>9</v>
      </c>
    </row>
    <row r="77" spans="1:26" x14ac:dyDescent="0.3">
      <c r="A77" s="35" t="s">
        <v>115</v>
      </c>
      <c r="B77" s="36">
        <v>52.250708000000003</v>
      </c>
      <c r="C77" s="37">
        <v>77.058469590000001</v>
      </c>
      <c r="D77" s="36">
        <v>5309953</v>
      </c>
      <c r="E77" s="27" t="s">
        <v>8</v>
      </c>
    </row>
    <row r="78" spans="1:26" ht="15" thickBot="1" x14ac:dyDescent="0.35">
      <c r="A78" s="35" t="s">
        <v>104</v>
      </c>
      <c r="B78" s="36">
        <v>50.388531688176499</v>
      </c>
      <c r="C78" s="37">
        <v>57.085366229999998</v>
      </c>
      <c r="D78" s="36">
        <v>173257</v>
      </c>
      <c r="E78" s="27" t="s">
        <v>7</v>
      </c>
    </row>
    <row r="79" spans="1:26" ht="15" thickBot="1" x14ac:dyDescent="0.35">
      <c r="A79" s="38" t="s">
        <v>116</v>
      </c>
      <c r="B79" s="39">
        <v>48.392963000000002</v>
      </c>
      <c r="C79" s="37">
        <v>57.429336999999997</v>
      </c>
      <c r="D79" s="39">
        <v>645239</v>
      </c>
      <c r="E79" s="40" t="s">
        <v>10</v>
      </c>
      <c r="F79" s="4"/>
      <c r="G79" s="5"/>
      <c r="H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3"/>
      <c r="Z79" s="2"/>
    </row>
    <row r="80" spans="1:26" ht="15" thickBot="1" x14ac:dyDescent="0.35">
      <c r="A80" s="38" t="s">
        <v>117</v>
      </c>
      <c r="B80" s="39">
        <v>48.393396042678901</v>
      </c>
      <c r="C80" s="37">
        <v>57.429664279999997</v>
      </c>
      <c r="D80" s="39">
        <v>619216</v>
      </c>
      <c r="E80" s="40" t="s">
        <v>7</v>
      </c>
      <c r="F80" s="4"/>
      <c r="G80" s="5"/>
      <c r="H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3"/>
      <c r="Z80" s="2"/>
    </row>
    <row r="81" spans="1:26" ht="15" thickBot="1" x14ac:dyDescent="0.35">
      <c r="A81" s="38" t="s">
        <v>118</v>
      </c>
      <c r="B81" s="39">
        <v>51.218935999999999</v>
      </c>
      <c r="C81" s="37">
        <v>51.373787999999998</v>
      </c>
      <c r="D81" s="39">
        <v>2369945</v>
      </c>
      <c r="E81" s="40" t="s">
        <v>10</v>
      </c>
      <c r="F81" s="4"/>
      <c r="G81" s="5"/>
      <c r="H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3"/>
      <c r="Z81" s="2"/>
    </row>
    <row r="82" spans="1:26" ht="15" thickBot="1" x14ac:dyDescent="0.35">
      <c r="A82" s="38" t="s">
        <v>119</v>
      </c>
      <c r="B82" s="39">
        <v>47.105781999999998</v>
      </c>
      <c r="C82" s="37">
        <v>51.913173</v>
      </c>
      <c r="D82" s="39">
        <v>4985786</v>
      </c>
      <c r="E82" s="40" t="s">
        <v>10</v>
      </c>
      <c r="F82" s="4"/>
      <c r="G82" s="5"/>
      <c r="H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3"/>
      <c r="Z82" s="2"/>
    </row>
    <row r="83" spans="1:26" ht="15" thickBot="1" x14ac:dyDescent="0.35">
      <c r="A83" s="38" t="s">
        <v>120</v>
      </c>
      <c r="B83" s="39">
        <v>51.416950999999997</v>
      </c>
      <c r="C83" s="37">
        <v>52.832740999999999</v>
      </c>
      <c r="D83" s="39">
        <v>212998</v>
      </c>
      <c r="E83" s="28" t="s">
        <v>10</v>
      </c>
      <c r="F83" s="5"/>
      <c r="G83" s="5"/>
      <c r="H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3"/>
      <c r="Z83" s="2"/>
    </row>
    <row r="84" spans="1:26" ht="15" thickBot="1" x14ac:dyDescent="0.35">
      <c r="A84" s="38" t="s">
        <v>121</v>
      </c>
      <c r="B84" s="39">
        <v>52.370008067118697</v>
      </c>
      <c r="C84" s="37">
        <v>76.909425749999997</v>
      </c>
      <c r="D84" s="39">
        <v>1218633</v>
      </c>
      <c r="E84" s="40" t="s">
        <v>11</v>
      </c>
      <c r="F84" s="6"/>
      <c r="G84" s="5"/>
      <c r="H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3"/>
      <c r="Z84" s="2"/>
    </row>
    <row r="85" spans="1:26" ht="15" thickBot="1" x14ac:dyDescent="0.35">
      <c r="A85" s="38" t="s">
        <v>122</v>
      </c>
      <c r="B85" s="39">
        <v>42.261770200799397</v>
      </c>
      <c r="C85" s="37">
        <v>69.654192210000005</v>
      </c>
      <c r="D85" s="39">
        <v>1057377</v>
      </c>
      <c r="E85" s="40" t="s">
        <v>11</v>
      </c>
      <c r="F85" s="6"/>
      <c r="G85" s="5"/>
      <c r="H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3"/>
      <c r="Z85" s="2"/>
    </row>
    <row r="86" spans="1:26" ht="15" thickBot="1" x14ac:dyDescent="0.35">
      <c r="A86" s="38" t="s">
        <v>123</v>
      </c>
      <c r="B86" s="39">
        <v>47.073667</v>
      </c>
      <c r="C86" s="37">
        <v>51.926157000000003</v>
      </c>
      <c r="D86" s="39">
        <v>1617535</v>
      </c>
      <c r="E86" s="40" t="s">
        <v>11</v>
      </c>
      <c r="F86" s="5"/>
      <c r="G86" s="5"/>
      <c r="H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3"/>
      <c r="Z86" s="2"/>
    </row>
    <row r="87" spans="1:26" ht="15" thickBot="1" x14ac:dyDescent="0.35">
      <c r="A87" s="38" t="s">
        <v>124</v>
      </c>
      <c r="B87" s="39">
        <v>43.665103000000002</v>
      </c>
      <c r="C87" s="37">
        <v>51.279733</v>
      </c>
      <c r="D87" s="39">
        <v>160475</v>
      </c>
      <c r="E87" s="40" t="s">
        <v>11</v>
      </c>
      <c r="F87" s="5"/>
      <c r="G87" s="5"/>
      <c r="H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3"/>
      <c r="Z87" s="2"/>
    </row>
    <row r="88" spans="1:26" ht="15" thickBot="1" x14ac:dyDescent="0.35">
      <c r="A88" s="38" t="s">
        <v>125</v>
      </c>
      <c r="B88" s="39">
        <v>43.361378000000002</v>
      </c>
      <c r="C88" s="37">
        <v>52.807769999999998</v>
      </c>
      <c r="D88" s="39">
        <v>286131</v>
      </c>
      <c r="E88" s="28" t="s">
        <v>10</v>
      </c>
      <c r="F88" s="5"/>
      <c r="G88" s="5"/>
      <c r="H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3"/>
      <c r="Z88" s="2"/>
    </row>
    <row r="89" spans="1:26" ht="15" thickBot="1" x14ac:dyDescent="0.35">
      <c r="A89" s="38" t="s">
        <v>126</v>
      </c>
      <c r="B89" s="39">
        <v>47.284894000000001</v>
      </c>
      <c r="C89" s="37">
        <v>52.733559999999997</v>
      </c>
      <c r="D89" s="39">
        <v>3509095</v>
      </c>
      <c r="E89" s="40" t="s">
        <v>10</v>
      </c>
      <c r="F89" s="7"/>
      <c r="G89" s="5"/>
      <c r="H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3"/>
      <c r="Z89" s="2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659C-FE1B-45F5-B64F-B3E43A571E1F}">
  <dimension ref="A1:Y37"/>
  <sheetViews>
    <sheetView zoomScaleNormal="100" workbookViewId="0">
      <selection activeCell="F22" sqref="F22"/>
    </sheetView>
  </sheetViews>
  <sheetFormatPr defaultColWidth="8.77734375" defaultRowHeight="14.4" x14ac:dyDescent="0.3"/>
  <cols>
    <col min="1" max="1" width="18" bestFit="1" customWidth="1"/>
    <col min="4" max="4" width="27.44140625" customWidth="1"/>
    <col min="11" max="11" width="18.109375" bestFit="1" customWidth="1"/>
  </cols>
  <sheetData>
    <row r="1" spans="1:11" x14ac:dyDescent="0.3">
      <c r="A1" s="9" t="s">
        <v>2</v>
      </c>
      <c r="B1" s="9" t="s">
        <v>0</v>
      </c>
      <c r="C1" s="9" t="s">
        <v>1</v>
      </c>
      <c r="D1" s="10" t="s">
        <v>5</v>
      </c>
      <c r="E1" s="9" t="s">
        <v>17</v>
      </c>
      <c r="F1" s="9" t="s">
        <v>18</v>
      </c>
      <c r="G1" s="9" t="s">
        <v>23</v>
      </c>
      <c r="H1" s="9" t="s">
        <v>14</v>
      </c>
      <c r="I1" s="9" t="s">
        <v>15</v>
      </c>
      <c r="J1" s="9" t="s">
        <v>16</v>
      </c>
      <c r="K1" s="9" t="s">
        <v>3</v>
      </c>
    </row>
    <row r="2" spans="1:11" x14ac:dyDescent="0.3">
      <c r="A2" s="26" t="s">
        <v>24</v>
      </c>
      <c r="B2" s="24">
        <v>51.452410999999998</v>
      </c>
      <c r="C2" s="24">
        <v>53.387965000000001</v>
      </c>
      <c r="D2" s="25">
        <f t="shared" ref="D2:D13" si="0">E2*F2*H2*I2*J2*1000</f>
        <v>60491402.8992</v>
      </c>
      <c r="E2" s="26">
        <v>323.68</v>
      </c>
      <c r="F2" s="26">
        <v>650</v>
      </c>
      <c r="G2" s="26">
        <v>5400</v>
      </c>
      <c r="H2" s="26">
        <v>7.8299999999999995E-2</v>
      </c>
      <c r="I2" s="26">
        <v>5.1000000000000004E-3</v>
      </c>
      <c r="J2" s="26">
        <v>720</v>
      </c>
      <c r="K2" s="1" t="s">
        <v>20</v>
      </c>
    </row>
    <row r="3" spans="1:11" x14ac:dyDescent="0.3">
      <c r="A3" s="26" t="s">
        <v>25</v>
      </c>
      <c r="B3" s="24">
        <v>51.436400999999996</v>
      </c>
      <c r="C3" s="24">
        <v>52.834325999999997</v>
      </c>
      <c r="D3" s="25">
        <f t="shared" si="0"/>
        <v>11006547.10155</v>
      </c>
      <c r="E3" s="26">
        <v>220.28</v>
      </c>
      <c r="F3" s="26">
        <v>175</v>
      </c>
      <c r="G3" s="26">
        <v>4350</v>
      </c>
      <c r="H3" s="26">
        <v>7.8299999999999995E-2</v>
      </c>
      <c r="I3" s="26">
        <v>5.1000000000000004E-3</v>
      </c>
      <c r="J3" s="26">
        <v>715</v>
      </c>
      <c r="K3" s="1" t="s">
        <v>20</v>
      </c>
    </row>
    <row r="4" spans="1:11" x14ac:dyDescent="0.3">
      <c r="A4" s="26" t="s">
        <v>26</v>
      </c>
      <c r="B4" s="24">
        <v>48.440854999999999</v>
      </c>
      <c r="C4" s="24">
        <v>57.182578999999997</v>
      </c>
      <c r="D4" s="25">
        <f t="shared" si="0"/>
        <v>1603929.6</v>
      </c>
      <c r="E4" s="26">
        <v>31.2</v>
      </c>
      <c r="F4" s="26">
        <v>175</v>
      </c>
      <c r="G4" s="26">
        <v>2820</v>
      </c>
      <c r="H4" s="26">
        <v>0.08</v>
      </c>
      <c r="I4" s="26">
        <v>5.1000000000000004E-3</v>
      </c>
      <c r="J4" s="26">
        <v>720</v>
      </c>
      <c r="K4" s="1" t="s">
        <v>22</v>
      </c>
    </row>
    <row r="5" spans="1:11" x14ac:dyDescent="0.3">
      <c r="A5" s="26" t="s">
        <v>27</v>
      </c>
      <c r="B5" s="24">
        <v>48.515912999999998</v>
      </c>
      <c r="C5" s="24">
        <v>57.765301000000001</v>
      </c>
      <c r="D5" s="25">
        <f t="shared" si="0"/>
        <v>168347600.85000002</v>
      </c>
      <c r="E5" s="26">
        <v>355.13</v>
      </c>
      <c r="F5" s="26">
        <v>650</v>
      </c>
      <c r="G5" s="26">
        <v>3600</v>
      </c>
      <c r="H5" s="26">
        <v>0.2</v>
      </c>
      <c r="I5" s="26">
        <v>5.1000000000000004E-3</v>
      </c>
      <c r="J5" s="26">
        <v>715</v>
      </c>
      <c r="K5" s="1" t="s">
        <v>22</v>
      </c>
    </row>
    <row r="6" spans="1:11" x14ac:dyDescent="0.3">
      <c r="A6" s="26" t="s">
        <v>28</v>
      </c>
      <c r="B6" s="24">
        <v>48.332503000000003</v>
      </c>
      <c r="C6" s="24">
        <v>57.233697999999997</v>
      </c>
      <c r="D6" s="25">
        <f t="shared" si="0"/>
        <v>45176488.5</v>
      </c>
      <c r="E6" s="26">
        <v>95.3</v>
      </c>
      <c r="F6" s="26">
        <v>650</v>
      </c>
      <c r="G6" s="26">
        <v>2200</v>
      </c>
      <c r="H6" s="26">
        <v>0.2</v>
      </c>
      <c r="I6" s="26">
        <v>5.1000000000000004E-3</v>
      </c>
      <c r="J6" s="26">
        <v>715</v>
      </c>
      <c r="K6" s="1" t="s">
        <v>22</v>
      </c>
    </row>
    <row r="7" spans="1:11" x14ac:dyDescent="0.3">
      <c r="A7" s="26" t="s">
        <v>29</v>
      </c>
      <c r="B7" s="24">
        <v>48.199544000000003</v>
      </c>
      <c r="C7" s="24">
        <v>56.817836999999997</v>
      </c>
      <c r="D7" s="25">
        <f t="shared" si="0"/>
        <v>9140681.5500000026</v>
      </c>
      <c r="E7" s="26">
        <v>71.62</v>
      </c>
      <c r="F7" s="26">
        <v>175</v>
      </c>
      <c r="G7" s="26">
        <v>2200</v>
      </c>
      <c r="H7" s="26">
        <v>0.2</v>
      </c>
      <c r="I7" s="26">
        <v>5.1000000000000004E-3</v>
      </c>
      <c r="J7" s="26">
        <v>715</v>
      </c>
      <c r="K7" s="1" t="s">
        <v>22</v>
      </c>
    </row>
    <row r="8" spans="1:11" x14ac:dyDescent="0.3">
      <c r="A8" s="26" t="s">
        <v>30</v>
      </c>
      <c r="B8" s="24">
        <v>48.254232000000002</v>
      </c>
      <c r="C8" s="24">
        <v>56.898155000000003</v>
      </c>
      <c r="D8" s="25">
        <f t="shared" si="0"/>
        <v>8319366.680625</v>
      </c>
      <c r="E8" s="26">
        <v>77.7</v>
      </c>
      <c r="F8" s="26">
        <v>375</v>
      </c>
      <c r="G8" s="26">
        <v>2200</v>
      </c>
      <c r="H8" s="26">
        <v>7.8299999999999995E-2</v>
      </c>
      <c r="I8" s="26">
        <v>5.1000000000000004E-3</v>
      </c>
      <c r="J8" s="26">
        <v>715</v>
      </c>
      <c r="K8" s="1" t="s">
        <v>22</v>
      </c>
    </row>
    <row r="9" spans="1:11" x14ac:dyDescent="0.3">
      <c r="A9" s="26" t="s">
        <v>31</v>
      </c>
      <c r="B9" s="24">
        <v>48.087992</v>
      </c>
      <c r="C9" s="24">
        <v>56.439754000000001</v>
      </c>
      <c r="D9" s="25">
        <f t="shared" si="0"/>
        <v>417506.40000000008</v>
      </c>
      <c r="E9" s="26">
        <v>3.79</v>
      </c>
      <c r="F9" s="26">
        <v>375</v>
      </c>
      <c r="G9" s="26">
        <v>4160</v>
      </c>
      <c r="H9" s="26">
        <v>0.08</v>
      </c>
      <c r="I9" s="26">
        <v>5.1000000000000004E-3</v>
      </c>
      <c r="J9" s="26">
        <v>720</v>
      </c>
      <c r="K9" s="1" t="s">
        <v>22</v>
      </c>
    </row>
    <row r="10" spans="1:11" x14ac:dyDescent="0.3">
      <c r="A10" s="26" t="s">
        <v>32</v>
      </c>
      <c r="B10" s="24">
        <v>46.105454000000002</v>
      </c>
      <c r="C10" s="24">
        <v>53.335681000000001</v>
      </c>
      <c r="D10" s="25">
        <f t="shared" si="0"/>
        <v>38601981.600000009</v>
      </c>
      <c r="E10" s="26">
        <v>207.94</v>
      </c>
      <c r="F10" s="26">
        <v>650</v>
      </c>
      <c r="G10" s="26">
        <v>3450</v>
      </c>
      <c r="H10" s="26">
        <v>0.08</v>
      </c>
      <c r="I10" s="26">
        <v>5.1000000000000004E-3</v>
      </c>
      <c r="J10" s="26">
        <v>700</v>
      </c>
      <c r="K10" s="1" t="s">
        <v>19</v>
      </c>
    </row>
    <row r="11" spans="1:11" x14ac:dyDescent="0.3">
      <c r="A11" s="26" t="s">
        <v>33</v>
      </c>
      <c r="B11" s="24">
        <v>47.720094000000003</v>
      </c>
      <c r="C11" s="24">
        <v>54.145010999999997</v>
      </c>
      <c r="D11" s="25">
        <f t="shared" si="0"/>
        <v>33310777.500000004</v>
      </c>
      <c r="E11" s="26">
        <v>121.8</v>
      </c>
      <c r="F11" s="26">
        <v>375</v>
      </c>
      <c r="G11" s="26">
        <v>2000</v>
      </c>
      <c r="H11" s="26">
        <v>0.2</v>
      </c>
      <c r="I11" s="26">
        <v>5.1000000000000004E-3</v>
      </c>
      <c r="J11" s="26">
        <v>715</v>
      </c>
      <c r="K11" s="1" t="s">
        <v>19</v>
      </c>
    </row>
    <row r="12" spans="1:11" x14ac:dyDescent="0.3">
      <c r="A12" s="26" t="s">
        <v>34</v>
      </c>
      <c r="B12" s="24">
        <v>47.939037999999996</v>
      </c>
      <c r="C12" s="24">
        <v>54.196447999999997</v>
      </c>
      <c r="D12" s="25">
        <f t="shared" si="0"/>
        <v>27557992.800000001</v>
      </c>
      <c r="E12" s="26">
        <v>57.73</v>
      </c>
      <c r="F12" s="26">
        <v>650</v>
      </c>
      <c r="G12" s="26">
        <v>1800</v>
      </c>
      <c r="H12" s="26">
        <v>0.2</v>
      </c>
      <c r="I12" s="26">
        <v>5.1000000000000004E-3</v>
      </c>
      <c r="J12" s="26">
        <v>720</v>
      </c>
      <c r="K12" s="1" t="s">
        <v>19</v>
      </c>
    </row>
    <row r="13" spans="1:11" x14ac:dyDescent="0.3">
      <c r="A13" s="26" t="s">
        <v>35</v>
      </c>
      <c r="B13" s="24">
        <v>46.763989000000002</v>
      </c>
      <c r="C13" s="24">
        <v>54.933475000000001</v>
      </c>
      <c r="D13" s="25">
        <f t="shared" si="0"/>
        <v>5413956.4079999998</v>
      </c>
      <c r="E13" s="26">
        <v>107.6</v>
      </c>
      <c r="F13" s="26">
        <v>175</v>
      </c>
      <c r="G13" s="26">
        <v>3500</v>
      </c>
      <c r="H13" s="26">
        <v>7.8299999999999995E-2</v>
      </c>
      <c r="I13" s="26">
        <v>5.1000000000000004E-3</v>
      </c>
      <c r="J13" s="26">
        <v>720</v>
      </c>
      <c r="K13" s="1" t="s">
        <v>19</v>
      </c>
    </row>
    <row r="14" spans="1:11" x14ac:dyDescent="0.3">
      <c r="A14" s="26" t="s">
        <v>36</v>
      </c>
      <c r="B14" s="24">
        <v>47.63</v>
      </c>
      <c r="C14" s="24">
        <v>84.33</v>
      </c>
      <c r="D14" s="25">
        <v>250546405.80000001</v>
      </c>
      <c r="E14" s="26">
        <v>7128</v>
      </c>
      <c r="F14" s="26">
        <v>94</v>
      </c>
      <c r="G14" s="26">
        <v>1200</v>
      </c>
      <c r="H14" s="26">
        <v>9.4E-2</v>
      </c>
      <c r="I14" s="26">
        <v>5.1000000000000004E-3</v>
      </c>
      <c r="J14" s="26">
        <v>780</v>
      </c>
      <c r="K14" s="1" t="s">
        <v>21</v>
      </c>
    </row>
    <row r="15" spans="1:11" x14ac:dyDescent="0.3">
      <c r="A15" s="26" t="s">
        <v>37</v>
      </c>
      <c r="B15" s="24">
        <v>47.88</v>
      </c>
      <c r="C15" s="24">
        <v>83.56</v>
      </c>
      <c r="D15" s="25">
        <v>161688196.80000001</v>
      </c>
      <c r="E15" s="26">
        <v>4600</v>
      </c>
      <c r="F15" s="26">
        <v>94</v>
      </c>
      <c r="G15" s="26">
        <v>1200</v>
      </c>
      <c r="H15" s="26">
        <v>9.4E-2</v>
      </c>
      <c r="I15" s="26">
        <v>5.1000000000000004E-3</v>
      </c>
      <c r="J15" s="26">
        <v>780</v>
      </c>
      <c r="K15" s="1" t="s">
        <v>21</v>
      </c>
    </row>
    <row r="16" spans="1:11" x14ac:dyDescent="0.3">
      <c r="A16" s="26" t="s">
        <v>38</v>
      </c>
      <c r="B16" s="24">
        <v>42.976255979110803</v>
      </c>
      <c r="C16" s="24">
        <v>71.730113893317295</v>
      </c>
      <c r="D16" s="26">
        <f>E16*F16*H16*I16*J16*1000</f>
        <v>1565199999.9999998</v>
      </c>
      <c r="E16" s="26">
        <v>10000</v>
      </c>
      <c r="F16" s="26">
        <v>500</v>
      </c>
      <c r="G16" s="26">
        <v>1100</v>
      </c>
      <c r="H16" s="26">
        <v>8.5999999999999993E-2</v>
      </c>
      <c r="I16" s="26">
        <v>5.1999999999999998E-3</v>
      </c>
      <c r="J16" s="26">
        <v>700</v>
      </c>
      <c r="K16" s="1" t="s">
        <v>21</v>
      </c>
    </row>
    <row r="17" spans="1:25" x14ac:dyDescent="0.3">
      <c r="A17" s="26" t="s">
        <v>39</v>
      </c>
      <c r="B17" s="24">
        <v>45.997374723705697</v>
      </c>
      <c r="C17" s="24">
        <v>65.180465675663797</v>
      </c>
      <c r="D17" s="26">
        <f>E17*1000000*F17*H17*I17*J17/1000</f>
        <v>1129176720</v>
      </c>
      <c r="E17" s="26">
        <v>1400</v>
      </c>
      <c r="F17" s="26">
        <v>1200</v>
      </c>
      <c r="G17" s="26">
        <v>1400</v>
      </c>
      <c r="H17" s="26">
        <v>0.191</v>
      </c>
      <c r="I17" s="26">
        <v>5.1000000000000004E-3</v>
      </c>
      <c r="J17" s="26">
        <v>690</v>
      </c>
      <c r="K17" s="1" t="s">
        <v>20</v>
      </c>
    </row>
    <row r="18" spans="1:25" x14ac:dyDescent="0.3">
      <c r="A18" s="26" t="s">
        <v>40</v>
      </c>
      <c r="B18" s="24">
        <v>45.725595363155598</v>
      </c>
      <c r="C18" s="24">
        <v>68.992597140908799</v>
      </c>
      <c r="D18" s="26">
        <f>E18*1000000*F18*H18*I18*J18/1000</f>
        <v>2504320000</v>
      </c>
      <c r="E18" s="26">
        <v>16000</v>
      </c>
      <c r="F18" s="26">
        <v>500</v>
      </c>
      <c r="G18" s="26">
        <v>1100</v>
      </c>
      <c r="H18" s="26">
        <v>8.5999999999999993E-2</v>
      </c>
      <c r="I18" s="26">
        <v>5.1999999999999998E-3</v>
      </c>
      <c r="J18" s="26">
        <v>700</v>
      </c>
      <c r="K18" s="1" t="s">
        <v>20</v>
      </c>
    </row>
    <row r="20" spans="1:25" ht="15.6" x14ac:dyDescent="0.3">
      <c r="B20" t="s">
        <v>128</v>
      </c>
      <c r="R20" s="12"/>
    </row>
    <row r="21" spans="1:25" ht="15.6" x14ac:dyDescent="0.3">
      <c r="A21" s="14"/>
      <c r="B21" t="s">
        <v>129</v>
      </c>
      <c r="C21" s="13"/>
      <c r="D21" s="13"/>
      <c r="E21" s="13"/>
      <c r="F21" s="13"/>
      <c r="G21" s="13"/>
      <c r="H21" s="13"/>
      <c r="I21" s="13"/>
      <c r="J21" s="13"/>
      <c r="N21" s="13"/>
      <c r="R21" s="15"/>
      <c r="S21" s="15"/>
      <c r="T21" s="15"/>
      <c r="U21" s="15"/>
      <c r="V21" s="15"/>
      <c r="W21" s="15"/>
      <c r="X21" s="15"/>
      <c r="Y21" s="11"/>
    </row>
    <row r="22" spans="1:25" ht="15.6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N22" s="16"/>
      <c r="R22" s="17"/>
      <c r="S22" s="18"/>
      <c r="T22" s="18"/>
      <c r="U22" s="18"/>
      <c r="V22" s="19"/>
      <c r="W22" s="19"/>
      <c r="X22" s="18"/>
      <c r="Y22" s="11"/>
    </row>
    <row r="23" spans="1:25" ht="15.6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N23" s="16"/>
      <c r="R23" s="17"/>
      <c r="S23" s="18"/>
      <c r="T23" s="18"/>
      <c r="U23" s="18"/>
      <c r="V23" s="19"/>
      <c r="W23" s="19"/>
      <c r="X23" s="18"/>
      <c r="Y23" s="11"/>
    </row>
    <row r="24" spans="1:25" ht="15.6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N24" s="16"/>
      <c r="R24" s="17"/>
      <c r="S24" s="18"/>
      <c r="T24" s="18"/>
      <c r="U24" s="18"/>
      <c r="V24" s="19"/>
      <c r="W24" s="19"/>
      <c r="X24" s="18"/>
      <c r="Y24" s="11"/>
    </row>
    <row r="25" spans="1:25" ht="15.6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N25" s="16"/>
      <c r="R25" s="17"/>
      <c r="S25" s="18"/>
      <c r="T25" s="18"/>
      <c r="U25" s="18"/>
      <c r="V25" s="19"/>
      <c r="W25" s="19"/>
      <c r="X25" s="18"/>
      <c r="Y25" s="11"/>
    </row>
    <row r="26" spans="1:25" ht="15.6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N26" s="16"/>
      <c r="R26" s="17"/>
      <c r="S26" s="18"/>
      <c r="T26" s="18"/>
      <c r="U26" s="18"/>
      <c r="V26" s="19"/>
      <c r="W26" s="19"/>
      <c r="X26" s="18"/>
      <c r="Y26" s="11"/>
    </row>
    <row r="27" spans="1:25" ht="15.6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N27" s="16"/>
      <c r="R27" s="17"/>
      <c r="S27" s="18"/>
      <c r="T27" s="18"/>
      <c r="U27" s="18"/>
      <c r="V27" s="19"/>
      <c r="W27" s="19"/>
      <c r="X27" s="18"/>
      <c r="Y27" s="11"/>
    </row>
    <row r="28" spans="1:25" ht="15.6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N28" s="16"/>
      <c r="R28" s="15"/>
      <c r="S28" s="15"/>
      <c r="T28" s="15"/>
      <c r="U28" s="15"/>
      <c r="V28" s="15"/>
      <c r="W28" s="15"/>
      <c r="X28" s="23"/>
      <c r="Y28" s="23"/>
    </row>
    <row r="29" spans="1:25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N29" s="16"/>
    </row>
    <row r="30" spans="1:25" ht="15.6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N30" s="16"/>
      <c r="R30" s="12"/>
    </row>
    <row r="31" spans="1:25" ht="15.6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N31" s="16"/>
      <c r="R31" s="15"/>
      <c r="S31" s="15"/>
      <c r="T31" s="15"/>
      <c r="U31" s="15"/>
      <c r="V31" s="15"/>
      <c r="W31" s="15"/>
      <c r="X31" s="15"/>
      <c r="Y31" s="15"/>
    </row>
    <row r="32" spans="1:25" ht="15.6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N32" s="16"/>
      <c r="R32" s="17"/>
      <c r="S32" s="18"/>
      <c r="T32" s="18"/>
      <c r="U32" s="18"/>
      <c r="V32" s="19"/>
      <c r="W32" s="19"/>
      <c r="X32" s="19"/>
      <c r="Y32" s="18"/>
    </row>
    <row r="33" spans="1:25" ht="15.6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N33" s="16"/>
      <c r="R33" s="17"/>
      <c r="S33" s="18"/>
      <c r="T33" s="18"/>
      <c r="U33" s="18"/>
      <c r="V33" s="19"/>
      <c r="W33" s="19"/>
      <c r="X33" s="19"/>
      <c r="Y33" s="18"/>
    </row>
    <row r="34" spans="1:25" ht="15.6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N34" s="16"/>
      <c r="R34" s="17"/>
      <c r="S34" s="18"/>
      <c r="T34" s="18"/>
      <c r="U34" s="18"/>
      <c r="V34" s="19"/>
      <c r="W34" s="19"/>
      <c r="X34" s="19"/>
      <c r="Y34" s="18"/>
    </row>
    <row r="35" spans="1:25" ht="15.6" x14ac:dyDescent="0.3">
      <c r="A35" s="13"/>
      <c r="B35" s="13"/>
      <c r="C35" s="13"/>
      <c r="D35" s="13"/>
      <c r="E35" s="13"/>
      <c r="F35" s="13"/>
      <c r="G35" s="13"/>
      <c r="H35" s="13"/>
      <c r="I35" s="13"/>
      <c r="J35" s="13"/>
      <c r="N35" s="14"/>
      <c r="R35" s="17"/>
      <c r="S35" s="18"/>
      <c r="T35" s="18"/>
      <c r="U35" s="18"/>
      <c r="V35" s="19"/>
      <c r="W35" s="19"/>
      <c r="X35" s="19"/>
      <c r="Y35" s="18"/>
    </row>
    <row r="36" spans="1:25" ht="15.6" x14ac:dyDescent="0.3">
      <c r="R36" s="17"/>
      <c r="S36" s="20"/>
      <c r="T36" s="20"/>
      <c r="U36" s="20"/>
      <c r="V36" s="21"/>
      <c r="W36" s="21"/>
      <c r="X36" s="21"/>
      <c r="Y36" s="20"/>
    </row>
    <row r="37" spans="1:25" ht="15.6" x14ac:dyDescent="0.3">
      <c r="R37" s="15"/>
      <c r="S37" s="15"/>
      <c r="T37" s="15"/>
      <c r="U37" s="15"/>
      <c r="V37" s="15"/>
      <c r="W37" s="15"/>
      <c r="X37" s="15"/>
      <c r="Y37" s="22"/>
    </row>
  </sheetData>
  <phoneticPr fontId="16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FD1D3-F645-44D3-82C2-8A8A11B6C596}">
  <dimension ref="A1:D60"/>
  <sheetViews>
    <sheetView zoomScale="58" workbookViewId="0">
      <selection activeCell="I29" sqref="I29"/>
    </sheetView>
  </sheetViews>
  <sheetFormatPr defaultColWidth="8.77734375" defaultRowHeight="14.4" x14ac:dyDescent="0.3"/>
  <cols>
    <col min="1" max="1" width="14.5546875" customWidth="1"/>
  </cols>
  <sheetData>
    <row r="1" spans="1:4" x14ac:dyDescent="0.3">
      <c r="A1" s="9" t="s">
        <v>13</v>
      </c>
      <c r="B1" s="9" t="s">
        <v>12</v>
      </c>
      <c r="C1" s="9" t="s">
        <v>0</v>
      </c>
      <c r="D1" s="9" t="s">
        <v>1</v>
      </c>
    </row>
    <row r="2" spans="1:4" x14ac:dyDescent="0.3">
      <c r="A2" s="1">
        <v>1</v>
      </c>
      <c r="B2" s="1">
        <v>1</v>
      </c>
      <c r="C2" s="1">
        <v>51.669076351396697</v>
      </c>
      <c r="D2" s="1">
        <v>51.084650330014703</v>
      </c>
    </row>
    <row r="3" spans="1:4" x14ac:dyDescent="0.3">
      <c r="A3" s="1">
        <v>2</v>
      </c>
      <c r="B3" s="1">
        <v>1</v>
      </c>
      <c r="C3" s="1">
        <v>50.9253866752438</v>
      </c>
      <c r="D3" s="1">
        <v>51.147969721371403</v>
      </c>
    </row>
    <row r="4" spans="1:4" x14ac:dyDescent="0.3">
      <c r="A4" s="1">
        <v>3</v>
      </c>
      <c r="B4" s="1">
        <v>1</v>
      </c>
      <c r="C4" s="1">
        <v>48.248310191116801</v>
      </c>
      <c r="D4" s="1">
        <v>51.242059413388098</v>
      </c>
    </row>
    <row r="5" spans="1:4" x14ac:dyDescent="0.3">
      <c r="A5" s="1">
        <v>4</v>
      </c>
      <c r="B5" s="1">
        <v>1</v>
      </c>
      <c r="C5" s="1">
        <v>48.264976408559001</v>
      </c>
      <c r="D5" s="1">
        <v>51.367034984712603</v>
      </c>
    </row>
    <row r="6" spans="1:4" x14ac:dyDescent="0.3">
      <c r="A6" s="1">
        <v>5</v>
      </c>
      <c r="B6" s="1">
        <v>1</v>
      </c>
      <c r="C6" s="1">
        <v>47.577050055956697</v>
      </c>
      <c r="D6" s="1">
        <v>51.441515835424099</v>
      </c>
    </row>
    <row r="7" spans="1:4" x14ac:dyDescent="0.3">
      <c r="A7" s="1">
        <v>6</v>
      </c>
      <c r="B7" s="1">
        <v>1</v>
      </c>
      <c r="C7" s="1">
        <v>47.099766599550101</v>
      </c>
      <c r="D7" s="1">
        <v>51.915117460573001</v>
      </c>
    </row>
    <row r="8" spans="1:4" x14ac:dyDescent="0.3">
      <c r="A8" s="1">
        <v>7</v>
      </c>
      <c r="B8" s="1">
        <v>1</v>
      </c>
      <c r="C8" s="1">
        <v>46.964562701541197</v>
      </c>
      <c r="D8" s="1">
        <v>53.988956367287699</v>
      </c>
    </row>
    <row r="9" spans="1:4" x14ac:dyDescent="0.3">
      <c r="A9" s="1">
        <v>8</v>
      </c>
      <c r="B9" s="1">
        <v>1</v>
      </c>
      <c r="C9" s="1">
        <v>46.848229370997799</v>
      </c>
      <c r="D9" s="1">
        <v>53.7943925394448</v>
      </c>
    </row>
    <row r="10" spans="1:4" x14ac:dyDescent="0.3">
      <c r="A10" s="1">
        <v>9</v>
      </c>
      <c r="B10" s="1">
        <v>1</v>
      </c>
      <c r="C10" s="1">
        <v>46.5799215720169</v>
      </c>
      <c r="D10" s="1">
        <v>53.469678620924803</v>
      </c>
    </row>
    <row r="11" spans="1:4" x14ac:dyDescent="0.3">
      <c r="A11" s="1">
        <v>10</v>
      </c>
      <c r="B11" s="1">
        <v>1</v>
      </c>
      <c r="C11" s="1">
        <v>45.985093909470898</v>
      </c>
      <c r="D11" s="1">
        <v>53.266276128329601</v>
      </c>
    </row>
    <row r="12" spans="1:4" x14ac:dyDescent="0.3">
      <c r="A12" s="1">
        <v>11</v>
      </c>
      <c r="B12" s="1">
        <v>2</v>
      </c>
      <c r="C12" s="1">
        <v>47.089673333380397</v>
      </c>
      <c r="D12" s="1">
        <v>48.723009014665998</v>
      </c>
    </row>
    <row r="13" spans="1:4" x14ac:dyDescent="0.3">
      <c r="A13" s="1">
        <v>12</v>
      </c>
      <c r="B13" s="1">
        <v>2</v>
      </c>
      <c r="C13" s="1">
        <v>47.1048347171782</v>
      </c>
      <c r="D13" s="1">
        <v>51.008873593873503</v>
      </c>
    </row>
    <row r="14" spans="1:4" x14ac:dyDescent="0.3">
      <c r="A14" s="1">
        <v>13</v>
      </c>
      <c r="B14" s="1">
        <v>2</v>
      </c>
      <c r="C14" s="1">
        <v>47.099766599550101</v>
      </c>
      <c r="D14" s="1">
        <v>51.915117460573001</v>
      </c>
    </row>
    <row r="15" spans="1:4" x14ac:dyDescent="0.3">
      <c r="A15" s="1">
        <v>14</v>
      </c>
      <c r="B15" s="1">
        <v>2</v>
      </c>
      <c r="C15" s="1">
        <v>47.6423096495569</v>
      </c>
      <c r="D15" s="1">
        <v>53.319353182046498</v>
      </c>
    </row>
    <row r="16" spans="1:4" x14ac:dyDescent="0.3">
      <c r="A16" s="1">
        <v>15</v>
      </c>
      <c r="B16" s="1">
        <v>2</v>
      </c>
      <c r="C16" s="1">
        <v>47.741900543159097</v>
      </c>
      <c r="D16" s="1">
        <v>54.954110007115602</v>
      </c>
    </row>
    <row r="17" spans="1:4" x14ac:dyDescent="0.3">
      <c r="A17" s="1">
        <v>16</v>
      </c>
      <c r="B17" s="1">
        <v>3</v>
      </c>
      <c r="C17" s="1">
        <v>46.964562701541197</v>
      </c>
      <c r="D17" s="1">
        <v>53.988956367287699</v>
      </c>
    </row>
    <row r="18" spans="1:4" x14ac:dyDescent="0.3">
      <c r="A18" s="1">
        <v>17</v>
      </c>
      <c r="B18" s="1">
        <v>3</v>
      </c>
      <c r="C18" s="1">
        <v>46.848229370997799</v>
      </c>
      <c r="D18" s="1">
        <v>53.7943925394448</v>
      </c>
    </row>
    <row r="19" spans="1:4" x14ac:dyDescent="0.3">
      <c r="A19" s="1">
        <v>18</v>
      </c>
      <c r="B19" s="1">
        <v>4</v>
      </c>
      <c r="C19" s="1">
        <v>46.964562701541197</v>
      </c>
      <c r="D19" s="1">
        <v>53.988956367287699</v>
      </c>
    </row>
    <row r="20" spans="1:4" x14ac:dyDescent="0.3">
      <c r="A20" s="1">
        <v>19</v>
      </c>
      <c r="B20" s="1">
        <v>4</v>
      </c>
      <c r="C20" s="1">
        <v>45.3246208681838</v>
      </c>
      <c r="D20" s="1">
        <v>55.161253373061498</v>
      </c>
    </row>
    <row r="21" spans="1:4" x14ac:dyDescent="0.3">
      <c r="A21" s="1">
        <v>20</v>
      </c>
      <c r="B21" s="1">
        <v>4</v>
      </c>
      <c r="C21" s="1">
        <v>45.157363166586201</v>
      </c>
      <c r="D21" s="1">
        <v>55.151099437444302</v>
      </c>
    </row>
    <row r="22" spans="1:4" x14ac:dyDescent="0.3">
      <c r="A22" s="1">
        <v>21</v>
      </c>
      <c r="B22" s="1">
        <v>4</v>
      </c>
      <c r="C22" s="1">
        <v>43.446337347861501</v>
      </c>
      <c r="D22" s="1">
        <v>53.033645770047499</v>
      </c>
    </row>
    <row r="23" spans="1:4" x14ac:dyDescent="0.3">
      <c r="A23" s="1">
        <v>22</v>
      </c>
      <c r="B23" s="1">
        <v>4</v>
      </c>
      <c r="C23" s="1">
        <v>43.350627516266698</v>
      </c>
      <c r="D23" s="1">
        <v>52.754860762713399</v>
      </c>
    </row>
    <row r="24" spans="1:4" x14ac:dyDescent="0.3">
      <c r="A24" s="1">
        <v>23</v>
      </c>
      <c r="B24" s="1">
        <v>4</v>
      </c>
      <c r="C24" s="1">
        <v>43.581894346041899</v>
      </c>
      <c r="D24" s="1">
        <v>52.101461816793801</v>
      </c>
    </row>
    <row r="25" spans="1:4" x14ac:dyDescent="0.3">
      <c r="A25" s="1">
        <v>24</v>
      </c>
      <c r="B25" s="1">
        <v>4</v>
      </c>
      <c r="C25" s="1">
        <v>43.690778873155899</v>
      </c>
      <c r="D25" s="1">
        <v>51.237895385944697</v>
      </c>
    </row>
    <row r="26" spans="1:4" x14ac:dyDescent="0.3">
      <c r="A26" s="1">
        <v>25</v>
      </c>
      <c r="B26" s="1">
        <v>4</v>
      </c>
      <c r="C26" s="1">
        <v>44.346388745112399</v>
      </c>
      <c r="D26" s="1">
        <v>51.351718053626001</v>
      </c>
    </row>
    <row r="27" spans="1:4" x14ac:dyDescent="0.3">
      <c r="A27" s="1">
        <v>26</v>
      </c>
      <c r="B27" s="1">
        <v>4</v>
      </c>
      <c r="C27" s="1">
        <v>45.101277177410097</v>
      </c>
      <c r="D27" s="1">
        <v>51.409255728224103</v>
      </c>
    </row>
    <row r="28" spans="1:4" x14ac:dyDescent="0.3">
      <c r="A28" s="1">
        <v>27</v>
      </c>
      <c r="B28" s="1">
        <v>4</v>
      </c>
      <c r="C28" s="1">
        <v>45.316458497952397</v>
      </c>
      <c r="D28" s="1">
        <v>51.898681876743098</v>
      </c>
    </row>
    <row r="29" spans="1:4" x14ac:dyDescent="0.3">
      <c r="A29" s="1">
        <v>28</v>
      </c>
      <c r="B29" s="1">
        <v>5</v>
      </c>
      <c r="C29" s="1">
        <v>47.099766599550101</v>
      </c>
      <c r="D29" s="1">
        <v>51.915117460573001</v>
      </c>
    </row>
    <row r="30" spans="1:4" x14ac:dyDescent="0.3">
      <c r="A30" s="1">
        <v>29</v>
      </c>
      <c r="B30" s="1">
        <v>5</v>
      </c>
      <c r="C30" s="1">
        <v>48.166410595559903</v>
      </c>
      <c r="D30" s="1">
        <v>53.495823715053497</v>
      </c>
    </row>
    <row r="31" spans="1:4" x14ac:dyDescent="0.3">
      <c r="A31" s="1">
        <v>30</v>
      </c>
      <c r="B31" s="1">
        <v>5</v>
      </c>
      <c r="C31" s="1">
        <v>48.326785687843099</v>
      </c>
      <c r="D31" s="1">
        <v>56.084770038232399</v>
      </c>
    </row>
    <row r="32" spans="1:4" x14ac:dyDescent="0.3">
      <c r="A32" s="1">
        <v>31</v>
      </c>
      <c r="B32" s="1">
        <v>5</v>
      </c>
      <c r="C32" s="1">
        <v>48.584977175669202</v>
      </c>
      <c r="D32" s="1">
        <v>57.118411697940999</v>
      </c>
    </row>
    <row r="33" spans="1:4" x14ac:dyDescent="0.3">
      <c r="A33" s="1">
        <v>32</v>
      </c>
      <c r="B33" s="1">
        <v>5</v>
      </c>
      <c r="C33" s="1">
        <v>48.457727465566897</v>
      </c>
      <c r="D33" s="1">
        <v>57.170933448419099</v>
      </c>
    </row>
    <row r="34" spans="1:4" x14ac:dyDescent="0.3">
      <c r="A34" s="1">
        <v>33</v>
      </c>
      <c r="B34" s="1">
        <v>5</v>
      </c>
      <c r="C34" s="1">
        <v>48.280891471447703</v>
      </c>
      <c r="D34" s="1">
        <v>57.084464055513301</v>
      </c>
    </row>
    <row r="35" spans="1:4" x14ac:dyDescent="0.3">
      <c r="A35" s="1">
        <v>34</v>
      </c>
      <c r="B35" s="1">
        <v>5</v>
      </c>
      <c r="C35" s="1">
        <v>48.637800827710997</v>
      </c>
      <c r="D35" s="1">
        <v>58.396269312835599</v>
      </c>
    </row>
    <row r="36" spans="1:4" x14ac:dyDescent="0.3">
      <c r="A36" s="1">
        <v>35</v>
      </c>
      <c r="B36" s="1">
        <v>5</v>
      </c>
      <c r="C36" s="1">
        <v>47.904568701940597</v>
      </c>
      <c r="D36" s="1">
        <v>59.6317342778312</v>
      </c>
    </row>
    <row r="37" spans="1:4" x14ac:dyDescent="0.3">
      <c r="A37" s="1">
        <v>36</v>
      </c>
      <c r="B37" s="1">
        <v>5</v>
      </c>
      <c r="C37" s="1">
        <v>46.9837780450369</v>
      </c>
      <c r="D37" s="1">
        <v>61.854096968952398</v>
      </c>
    </row>
    <row r="38" spans="1:4" x14ac:dyDescent="0.3">
      <c r="A38" s="1">
        <v>37</v>
      </c>
      <c r="B38" s="1">
        <v>5</v>
      </c>
      <c r="C38" s="1">
        <v>46.4168742597356</v>
      </c>
      <c r="D38" s="1">
        <v>65.727070973365699</v>
      </c>
    </row>
    <row r="39" spans="1:4" x14ac:dyDescent="0.3">
      <c r="A39" s="1">
        <v>38</v>
      </c>
      <c r="B39" s="1">
        <v>5</v>
      </c>
      <c r="C39" s="1">
        <v>46.059631941180498</v>
      </c>
      <c r="D39" s="1">
        <v>68.645133902873496</v>
      </c>
    </row>
    <row r="40" spans="1:4" x14ac:dyDescent="0.3">
      <c r="A40" s="1">
        <v>39</v>
      </c>
      <c r="B40" s="1">
        <v>5</v>
      </c>
      <c r="C40" s="1">
        <v>44.7496959417916</v>
      </c>
      <c r="D40" s="1">
        <v>68.815562701000701</v>
      </c>
    </row>
    <row r="41" spans="1:4" x14ac:dyDescent="0.3">
      <c r="A41" s="1">
        <v>40</v>
      </c>
      <c r="B41" s="1">
        <v>5</v>
      </c>
      <c r="C41" s="1">
        <v>44.151051143537899</v>
      </c>
      <c r="D41" s="1">
        <v>68.520974874818194</v>
      </c>
    </row>
    <row r="42" spans="1:4" x14ac:dyDescent="0.3">
      <c r="A42" s="1">
        <v>41</v>
      </c>
      <c r="B42" s="1">
        <v>5</v>
      </c>
      <c r="C42" s="1">
        <v>43.7518415599449</v>
      </c>
      <c r="D42" s="1">
        <v>69.184503505094298</v>
      </c>
    </row>
    <row r="43" spans="1:4" x14ac:dyDescent="0.3">
      <c r="A43" s="1">
        <v>42</v>
      </c>
      <c r="B43" s="1">
        <v>5</v>
      </c>
      <c r="C43" s="1">
        <v>43.1004805254804</v>
      </c>
      <c r="D43" s="1">
        <v>68.947570835314707</v>
      </c>
    </row>
    <row r="44" spans="1:4" x14ac:dyDescent="0.3">
      <c r="A44" s="1">
        <v>43</v>
      </c>
      <c r="B44" s="1">
        <v>5</v>
      </c>
      <c r="C44" s="1">
        <v>42.388236351206501</v>
      </c>
      <c r="D44" s="1">
        <v>69.503815448646804</v>
      </c>
    </row>
    <row r="45" spans="1:4" x14ac:dyDescent="0.3">
      <c r="A45" s="1">
        <v>44</v>
      </c>
      <c r="B45" s="1">
        <v>6</v>
      </c>
      <c r="C45" s="1">
        <v>43.1004805254804</v>
      </c>
      <c r="D45" s="1">
        <v>68.947570835314707</v>
      </c>
    </row>
    <row r="46" spans="1:4" x14ac:dyDescent="0.3">
      <c r="A46" s="1">
        <v>45</v>
      </c>
      <c r="B46" s="1">
        <v>6</v>
      </c>
      <c r="C46" s="1">
        <v>42.964948987317499</v>
      </c>
      <c r="D46" s="1">
        <v>68.633791822665799</v>
      </c>
    </row>
    <row r="47" spans="1:4" x14ac:dyDescent="0.3">
      <c r="A47" s="1">
        <v>46</v>
      </c>
      <c r="B47" s="1">
        <v>7</v>
      </c>
      <c r="C47" s="1">
        <v>46.059631941180498</v>
      </c>
      <c r="D47" s="1">
        <v>68.645133902873496</v>
      </c>
    </row>
    <row r="48" spans="1:4" x14ac:dyDescent="0.3">
      <c r="A48" s="1">
        <v>47</v>
      </c>
      <c r="B48" s="1">
        <v>7</v>
      </c>
      <c r="C48" s="1">
        <v>47.904705999999997</v>
      </c>
      <c r="D48" s="1">
        <v>68.574378999999993</v>
      </c>
    </row>
    <row r="49" spans="1:4" x14ac:dyDescent="0.3">
      <c r="A49" s="1">
        <v>48</v>
      </c>
      <c r="B49" s="1">
        <v>7</v>
      </c>
      <c r="C49" s="1">
        <v>48.688740630596698</v>
      </c>
      <c r="D49" s="1">
        <v>71.664065141879306</v>
      </c>
    </row>
    <row r="50" spans="1:4" x14ac:dyDescent="0.3">
      <c r="A50" s="1">
        <v>49</v>
      </c>
      <c r="B50" s="1">
        <v>7</v>
      </c>
      <c r="C50" s="1">
        <v>50.479793792746399</v>
      </c>
      <c r="D50" s="1">
        <v>73.412487607027799</v>
      </c>
    </row>
    <row r="51" spans="1:4" x14ac:dyDescent="0.3">
      <c r="A51" s="1">
        <v>50</v>
      </c>
      <c r="B51" s="1">
        <v>7</v>
      </c>
      <c r="C51" s="1">
        <v>51.108532709160102</v>
      </c>
      <c r="D51" s="1">
        <v>74.301359267779503</v>
      </c>
    </row>
    <row r="52" spans="1:4" x14ac:dyDescent="0.3">
      <c r="A52" s="1">
        <v>51</v>
      </c>
      <c r="B52" s="1">
        <v>7</v>
      </c>
      <c r="C52" s="1">
        <v>51.807220932273403</v>
      </c>
      <c r="D52" s="1">
        <v>75.400959670046106</v>
      </c>
    </row>
    <row r="53" spans="1:4" x14ac:dyDescent="0.3">
      <c r="A53" s="1">
        <v>52</v>
      </c>
      <c r="B53" s="1">
        <v>7</v>
      </c>
      <c r="C53" s="1">
        <v>52.267352832614101</v>
      </c>
      <c r="D53" s="1">
        <v>76.980389728468793</v>
      </c>
    </row>
    <row r="54" spans="1:4" x14ac:dyDescent="0.3">
      <c r="A54" s="1">
        <v>53</v>
      </c>
      <c r="B54" s="1">
        <v>7</v>
      </c>
      <c r="C54" s="1">
        <v>53.714435146741401</v>
      </c>
      <c r="D54" s="1">
        <v>75.105986398795196</v>
      </c>
    </row>
    <row r="55" spans="1:4" x14ac:dyDescent="0.3">
      <c r="A55" s="1">
        <v>54</v>
      </c>
      <c r="B55" s="1">
        <v>7</v>
      </c>
      <c r="C55" s="1">
        <v>53.793893052013502</v>
      </c>
      <c r="D55" s="1">
        <v>75.048495861695599</v>
      </c>
    </row>
    <row r="56" spans="1:4" x14ac:dyDescent="0.3">
      <c r="A56" s="1">
        <v>55</v>
      </c>
      <c r="B56" s="1">
        <v>8</v>
      </c>
      <c r="C56" s="1">
        <v>48.688740630596698</v>
      </c>
      <c r="D56" s="1">
        <v>71.664065141879306</v>
      </c>
    </row>
    <row r="57" spans="1:4" x14ac:dyDescent="0.3">
      <c r="A57" s="1">
        <v>56</v>
      </c>
      <c r="B57" s="1">
        <v>8</v>
      </c>
      <c r="C57" s="1">
        <v>48.3505368072639</v>
      </c>
      <c r="D57" s="1">
        <v>72.467508735307504</v>
      </c>
    </row>
    <row r="58" spans="1:4" x14ac:dyDescent="0.3">
      <c r="A58" s="1">
        <v>57</v>
      </c>
      <c r="B58" s="1">
        <v>8</v>
      </c>
      <c r="C58" s="1">
        <v>48.350536789106101</v>
      </c>
      <c r="D58" s="1">
        <v>75.334741084522705</v>
      </c>
    </row>
    <row r="59" spans="1:4" x14ac:dyDescent="0.3">
      <c r="A59" s="1">
        <v>58</v>
      </c>
      <c r="B59" s="1">
        <v>8</v>
      </c>
      <c r="C59" s="1">
        <v>45.754114650632602</v>
      </c>
      <c r="D59" s="1">
        <v>81.371868509474396</v>
      </c>
    </row>
    <row r="60" spans="1:4" x14ac:dyDescent="0.3">
      <c r="A60" s="1">
        <v>59</v>
      </c>
      <c r="B60" s="1">
        <v>8</v>
      </c>
      <c r="C60" s="1">
        <v>45.536761487488</v>
      </c>
      <c r="D60" s="1">
        <v>82.281227766824202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CO2 sources</vt:lpstr>
      <vt:lpstr>CO2 sinks</vt:lpstr>
      <vt:lpstr>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gaini serik</dc:creator>
  <cp:lastModifiedBy>Амина Тогай</cp:lastModifiedBy>
  <dcterms:created xsi:type="dcterms:W3CDTF">2024-04-30T07:42:39Z</dcterms:created>
  <dcterms:modified xsi:type="dcterms:W3CDTF">2025-03-09T19:47:36Z</dcterms:modified>
</cp:coreProperties>
</file>